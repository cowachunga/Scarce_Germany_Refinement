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.xml" ContentType="application/vnd.openxmlformats-officedocument.spreadsheetml.worksheet+xml"/>
  <Override PartName="/xl/worksheets/sheet3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worksheets/sheet7.xml" ContentType="application/vnd.openxmlformats-officedocument.spreadsheetml.worksheet+xml"/>
  <Override PartName="/xl/worksheets/sheet2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9"/>
  </bookViews>
  <sheets>
    <sheet name="Aluminium" sheetId="1" state="visible" r:id="rId2"/>
    <sheet name="Antimony" sheetId="2" state="visible" r:id="rId3"/>
    <sheet name="Bismuth" sheetId="3" state="visible" r:id="rId4"/>
    <sheet name="Cadmium" sheetId="4" state="visible" r:id="rId5"/>
    <sheet name="Chromium" sheetId="5" state="visible" r:id="rId6"/>
    <sheet name="Coal" sheetId="6" state="visible" r:id="rId7"/>
    <sheet name="Cobalt" sheetId="7" state="visible" r:id="rId8"/>
    <sheet name="Copper" sheetId="8" state="visible" r:id="rId9"/>
    <sheet name="Crude oils" sheetId="9" state="visible" r:id="rId10"/>
    <sheet name="Gold" sheetId="10" state="visible" r:id="rId11"/>
    <sheet name="Graphite" sheetId="11" state="visible" r:id="rId12"/>
    <sheet name="Indium" sheetId="12" state="visible" r:id="rId13"/>
    <sheet name="Iron" sheetId="13" state="visible" r:id="rId14"/>
    <sheet name="Lead" sheetId="14" state="visible" r:id="rId15"/>
    <sheet name="Lignite" sheetId="15" state="visible" r:id="rId16"/>
    <sheet name="Lithium" sheetId="16" state="visible" r:id="rId17"/>
    <sheet name="Magnesium" sheetId="17" state="visible" r:id="rId18"/>
    <sheet name="Manganese" sheetId="18" state="visible" r:id="rId19"/>
    <sheet name="Molybdenum" sheetId="19" state="visible" r:id="rId20"/>
    <sheet name="Natural gas" sheetId="20" state="visible" r:id="rId21"/>
    <sheet name="Nickel" sheetId="21" state="visible" r:id="rId22"/>
    <sheet name="Niobium" sheetId="22" state="visible" r:id="rId23"/>
    <sheet name="Phosphorus" sheetId="23" state="visible" r:id="rId24"/>
    <sheet name="Platinum" sheetId="24" state="visible" r:id="rId25"/>
    <sheet name="Rare earths" sheetId="25" state="visible" r:id="rId26"/>
    <sheet name="Selenium" sheetId="26" state="visible" r:id="rId27"/>
    <sheet name="Silver" sheetId="27" state="visible" r:id="rId28"/>
    <sheet name="Strontium" sheetId="28" state="visible" r:id="rId29"/>
    <sheet name="Tantalum" sheetId="29" state="visible" r:id="rId30"/>
    <sheet name="Titanium" sheetId="30" state="visible" r:id="rId31"/>
    <sheet name="Tungsten" sheetId="31" state="visible" r:id="rId32"/>
    <sheet name="Uranium" sheetId="32" state="visible" r:id="rId33"/>
    <sheet name="Vanadium" sheetId="33" state="visible" r:id="rId34"/>
    <sheet name="Zinc" sheetId="34" state="visible" r:id="rId35"/>
    <sheet name="Zirconium" sheetId="35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<sst xmlns="http://schemas.openxmlformats.org/spreadsheetml/2006/main" count="745" uniqueCount="145">
  <si>
    <t xml:space="preserve">Country</t>
  </si>
  <si>
    <t xml:space="preserve">Reserves</t>
  </si>
  <si>
    <t xml:space="preserve">Australia</t>
  </si>
  <si>
    <t xml:space="preserve">Brazil</t>
  </si>
  <si>
    <t xml:space="preserve">China</t>
  </si>
  <si>
    <t xml:space="preserve">Guinea</t>
  </si>
  <si>
    <t xml:space="preserve">India</t>
  </si>
  <si>
    <t xml:space="preserve">Indonesia</t>
  </si>
  <si>
    <t xml:space="preserve">Jamaica</t>
  </si>
  <si>
    <t xml:space="preserve">Kazakhstan</t>
  </si>
  <si>
    <t xml:space="preserve">Malaysia</t>
  </si>
  <si>
    <t xml:space="preserve">Russia</t>
  </si>
  <si>
    <t xml:space="preserve">Saudi Arabia</t>
  </si>
  <si>
    <t xml:space="preserve">USA</t>
  </si>
  <si>
    <t xml:space="preserve">Vietnam</t>
  </si>
  <si>
    <t xml:space="preserve">Other countries</t>
  </si>
  <si>
    <t xml:space="preserve">World total (rounded)</t>
  </si>
  <si>
    <t xml:space="preserve">Bolivia</t>
  </si>
  <si>
    <t xml:space="preserve">Canada</t>
  </si>
  <si>
    <t xml:space="preserve">Kyrgyzstan</t>
  </si>
  <si>
    <t xml:space="preserve">Mexico</t>
  </si>
  <si>
    <t xml:space="preserve">Pakistan</t>
  </si>
  <si>
    <t xml:space="preserve">Tajikistan</t>
  </si>
  <si>
    <t xml:space="preserve">Turkey</t>
  </si>
  <si>
    <t xml:space="preserve">Peru</t>
  </si>
  <si>
    <t xml:space="preserve">Poland</t>
  </si>
  <si>
    <t xml:space="preserve">Finland</t>
  </si>
  <si>
    <t xml:space="preserve">South Africa</t>
  </si>
  <si>
    <t xml:space="preserve">Afghanistan</t>
  </si>
  <si>
    <t xml:space="preserve">Algeria</t>
  </si>
  <si>
    <t xml:space="preserve">Argentina</t>
  </si>
  <si>
    <t xml:space="preserve">Armenia</t>
  </si>
  <si>
    <t xml:space="preserve">Bangladesh</t>
  </si>
  <si>
    <t xml:space="preserve">Botswana</t>
  </si>
  <si>
    <t xml:space="preserve">Bulgaria</t>
  </si>
  <si>
    <t xml:space="preserve">Chile</t>
  </si>
  <si>
    <t xml:space="preserve">Colombia</t>
  </si>
  <si>
    <t xml:space="preserve">Democratic Republic of the Congo</t>
  </si>
  <si>
    <t xml:space="preserve">Czech Republic</t>
  </si>
  <si>
    <t xml:space="preserve">Egypt</t>
  </si>
  <si>
    <t xml:space="preserve">Eswatini</t>
  </si>
  <si>
    <t xml:space="preserve">Georgia</t>
  </si>
  <si>
    <t xml:space="preserve">Greenland</t>
  </si>
  <si>
    <t xml:space="preserve">Hungary</t>
  </si>
  <si>
    <t xml:space="preserve">Iran</t>
  </si>
  <si>
    <t xml:space="preserve">Ireland</t>
  </si>
  <si>
    <t xml:space="preserve">Italy</t>
  </si>
  <si>
    <t xml:space="preserve">Japan</t>
  </si>
  <si>
    <t xml:space="preserve">North Korea</t>
  </si>
  <si>
    <t xml:space="preserve">South Korea</t>
  </si>
  <si>
    <t xml:space="preserve">Laos</t>
  </si>
  <si>
    <t xml:space="preserve">Malawi</t>
  </si>
  <si>
    <t xml:space="preserve">Mongolia</t>
  </si>
  <si>
    <t xml:space="preserve">Montenegro</t>
  </si>
  <si>
    <t xml:space="preserve">Morocco</t>
  </si>
  <si>
    <t xml:space="preserve">Mozambique</t>
  </si>
  <si>
    <t xml:space="preserve">Myanmar</t>
  </si>
  <si>
    <t xml:space="preserve">Nepal</t>
  </si>
  <si>
    <t xml:space="preserve">Netherlands</t>
  </si>
  <si>
    <t xml:space="preserve">New Caledonia</t>
  </si>
  <si>
    <t xml:space="preserve">New Zealand</t>
  </si>
  <si>
    <t xml:space="preserve">Nigeria</t>
  </si>
  <si>
    <t xml:space="preserve">Norway</t>
  </si>
  <si>
    <t xml:space="preserve">Philippines</t>
  </si>
  <si>
    <t xml:space="preserve">Portugal</t>
  </si>
  <si>
    <t xml:space="preserve">Romania</t>
  </si>
  <si>
    <t xml:space="preserve">Serbia</t>
  </si>
  <si>
    <t xml:space="preserve">Slovenia</t>
  </si>
  <si>
    <t xml:space="preserve">Spain</t>
  </si>
  <si>
    <t xml:space="preserve">Sweden</t>
  </si>
  <si>
    <t xml:space="preserve">Taiwan</t>
  </si>
  <si>
    <t xml:space="preserve">Tanzania</t>
  </si>
  <si>
    <t xml:space="preserve">Ukraine</t>
  </si>
  <si>
    <t xml:space="preserve">United Kingdom</t>
  </si>
  <si>
    <t xml:space="preserve">Uzbekistan</t>
  </si>
  <si>
    <t xml:space="preserve">Venezuela</t>
  </si>
  <si>
    <t xml:space="preserve">Zambia</t>
  </si>
  <si>
    <t xml:space="preserve">Zimbabwe</t>
  </si>
  <si>
    <t xml:space="preserve">Cuba</t>
  </si>
  <si>
    <t xml:space="preserve">Madagascar</t>
  </si>
  <si>
    <t xml:space="preserve">Papua New Guinea</t>
  </si>
  <si>
    <t xml:space="preserve">Germany</t>
  </si>
  <si>
    <t xml:space="preserve">Albania</t>
  </si>
  <si>
    <t xml:space="preserve">Angola</t>
  </si>
  <si>
    <t xml:space="preserve">Austria</t>
  </si>
  <si>
    <t xml:space="preserve">Azerbaijan</t>
  </si>
  <si>
    <t xml:space="preserve">Bahrain</t>
  </si>
  <si>
    <t xml:space="preserve">Barbados</t>
  </si>
  <si>
    <t xml:space="preserve">Belarus</t>
  </si>
  <si>
    <t xml:space="preserve">Belize</t>
  </si>
  <si>
    <t xml:space="preserve">Benin</t>
  </si>
  <si>
    <t xml:space="preserve">Brunei Darussalam</t>
  </si>
  <si>
    <t xml:space="preserve">Cameroon</t>
  </si>
  <si>
    <t xml:space="preserve">Chad</t>
  </si>
  <si>
    <t xml:space="preserve">Croatia</t>
  </si>
  <si>
    <t xml:space="preserve">Denmark</t>
  </si>
  <si>
    <t xml:space="preserve">Ecuador</t>
  </si>
  <si>
    <t xml:space="preserve">Equatorial Guinea</t>
  </si>
  <si>
    <t xml:space="preserve">Estonia</t>
  </si>
  <si>
    <t xml:space="preserve">France</t>
  </si>
  <si>
    <t xml:space="preserve">Gabon</t>
  </si>
  <si>
    <t xml:space="preserve">Ghana</t>
  </si>
  <si>
    <t xml:space="preserve">Greece</t>
  </si>
  <si>
    <t xml:space="preserve">Guatemala</t>
  </si>
  <si>
    <t xml:space="preserve">Iraq</t>
  </si>
  <si>
    <t xml:space="preserve">Israel</t>
  </si>
  <si>
    <t xml:space="preserve">Ivory Coast</t>
  </si>
  <si>
    <t xml:space="preserve">Jordan</t>
  </si>
  <si>
    <t xml:space="preserve">Kuwait</t>
  </si>
  <si>
    <t xml:space="preserve">Libya</t>
  </si>
  <si>
    <t xml:space="preserve">Lithuania</t>
  </si>
  <si>
    <t xml:space="preserve">Mauritania</t>
  </si>
  <si>
    <t xml:space="preserve">Niger</t>
  </si>
  <si>
    <t xml:space="preserve">Oman</t>
  </si>
  <si>
    <t xml:space="preserve">Qatar</t>
  </si>
  <si>
    <t xml:space="preserve">Republic of the Congo</t>
  </si>
  <si>
    <t xml:space="preserve">Sierra Leone</t>
  </si>
  <si>
    <t xml:space="preserve">Slovakia</t>
  </si>
  <si>
    <t xml:space="preserve">South Sudan</t>
  </si>
  <si>
    <t xml:space="preserve">Sudan</t>
  </si>
  <si>
    <t xml:space="preserve">Suriname</t>
  </si>
  <si>
    <t xml:space="preserve">Syria</t>
  </si>
  <si>
    <t xml:space="preserve">Thailand</t>
  </si>
  <si>
    <t xml:space="preserve">Timor-Leste</t>
  </si>
  <si>
    <t xml:space="preserve">Trinidad and Tobago</t>
  </si>
  <si>
    <t xml:space="preserve">Tunisia</t>
  </si>
  <si>
    <t xml:space="preserve">Turkmenistan</t>
  </si>
  <si>
    <t xml:space="preserve">Uganda</t>
  </si>
  <si>
    <t xml:space="preserve">United Arab Emirates</t>
  </si>
  <si>
    <t xml:space="preserve">Yemen</t>
  </si>
  <si>
    <t xml:space="preserve">Mali</t>
  </si>
  <si>
    <t xml:space="preserve">Sri Lanka</t>
  </si>
  <si>
    <t xml:space="preserve">Bosnia &amp; Herzegovina</t>
  </si>
  <si>
    <t xml:space="preserve">Central African Republic</t>
  </si>
  <si>
    <t xml:space="preserve">Kosovo</t>
  </si>
  <si>
    <t xml:space="preserve">North Macedonia</t>
  </si>
  <si>
    <t xml:space="preserve">Ethiopia</t>
  </si>
  <si>
    <t xml:space="preserve">Namibia</t>
  </si>
  <si>
    <t xml:space="preserve">Rwanda</t>
  </si>
  <si>
    <t xml:space="preserve">Somalia</t>
  </si>
  <si>
    <t xml:space="preserve">Syrian</t>
  </si>
  <si>
    <t xml:space="preserve">Unated Arab Emirates</t>
  </si>
  <si>
    <t xml:space="preserve">Senegal</t>
  </si>
  <si>
    <t xml:space="preserve">Togo</t>
  </si>
  <si>
    <t xml:space="preserve">Kenya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</si>
</sst>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###,###,###,##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0.51"/>
    <col collapsed="false" customWidth="true" hidden="false" outlineLevel="0" max="2" min="2" style="1" width="13.33"/>
  </cols>
  <sheetData>
    <row r="1" customFormat="false" ht="15" hidden="false" customHeight="true" outlineLevel="0" collapsed="false">
      <c r="A1" s="1" t="s">
        <v>0</v>
      </c>
      <c r="B1" s="2" t="s">
        <v>1</v>
      </c>
    </row>
    <row r="2" customFormat="false" ht="15" hidden="false" customHeight="true" outlineLevel="0" collapsed="false">
      <c r="A2" s="1" t="s">
        <v>2</v>
      </c>
      <c r="B2" s="2" t="n">
        <v>5100000000</v>
      </c>
    </row>
    <row r="3" customFormat="false" ht="15" hidden="false" customHeight="true" outlineLevel="0" collapsed="false">
      <c r="A3" s="1" t="s">
        <v>3</v>
      </c>
      <c r="B3" s="2" t="n">
        <v>2700000000</v>
      </c>
    </row>
    <row r="4" customFormat="false" ht="13.8" hidden="false" customHeight="true" outlineLevel="0" collapsed="false">
      <c r="A4" s="1" t="s">
        <v>4</v>
      </c>
      <c r="B4" s="2" t="n">
        <v>1000000000</v>
      </c>
    </row>
    <row r="5" customFormat="false" ht="15" hidden="false" customHeight="true" outlineLevel="0" collapsed="false">
      <c r="A5" s="1" t="s">
        <v>5</v>
      </c>
      <c r="B5" s="2" t="n">
        <v>7400000000</v>
      </c>
    </row>
    <row r="6" customFormat="false" ht="15" hidden="false" customHeight="true" outlineLevel="0" collapsed="false">
      <c r="A6" s="1" t="s">
        <v>6</v>
      </c>
      <c r="B6" s="2" t="n">
        <v>660000000</v>
      </c>
    </row>
    <row r="7" customFormat="false" ht="15" hidden="false" customHeight="true" outlineLevel="0" collapsed="false">
      <c r="A7" s="1" t="s">
        <v>7</v>
      </c>
      <c r="B7" s="2" t="n">
        <v>1200000000</v>
      </c>
    </row>
    <row r="8" customFormat="false" ht="15" hidden="false" customHeight="true" outlineLevel="0" collapsed="false">
      <c r="A8" s="1" t="s">
        <v>8</v>
      </c>
      <c r="B8" s="2" t="n">
        <v>2000000000</v>
      </c>
    </row>
    <row r="9" customFormat="false" ht="15" hidden="false" customHeight="true" outlineLevel="0" collapsed="false">
      <c r="A9" s="1" t="s">
        <v>9</v>
      </c>
      <c r="B9" s="2" t="n">
        <v>160000000</v>
      </c>
    </row>
    <row r="10" customFormat="false" ht="15" hidden="false" customHeight="true" outlineLevel="0" collapsed="false">
      <c r="A10" s="1" t="s">
        <v>10</v>
      </c>
      <c r="B10" s="2" t="n">
        <v>170000000</v>
      </c>
    </row>
    <row r="11" customFormat="false" ht="15" hidden="false" customHeight="true" outlineLevel="0" collapsed="false">
      <c r="A11" s="1" t="s">
        <v>11</v>
      </c>
      <c r="B11" s="2" t="n">
        <v>500000000</v>
      </c>
    </row>
    <row r="12" customFormat="false" ht="15" hidden="false" customHeight="true" outlineLevel="0" collapsed="false">
      <c r="A12" s="1" t="s">
        <v>12</v>
      </c>
      <c r="B12" s="2" t="n">
        <v>190000000</v>
      </c>
    </row>
    <row r="13" customFormat="false" ht="15" hidden="false" customHeight="true" outlineLevel="0" collapsed="false">
      <c r="A13" s="1" t="s">
        <v>13</v>
      </c>
      <c r="B13" s="2" t="n">
        <v>20000000</v>
      </c>
    </row>
    <row r="14" customFormat="false" ht="15" hidden="false" customHeight="true" outlineLevel="0" collapsed="false">
      <c r="A14" s="1" t="s">
        <v>14</v>
      </c>
      <c r="B14" s="2" t="n">
        <v>3700000000</v>
      </c>
    </row>
    <row r="15" customFormat="false" ht="15" hidden="false" customHeight="true" outlineLevel="0" collapsed="false">
      <c r="A15" s="1" t="s">
        <v>15</v>
      </c>
      <c r="B15" s="2" t="n">
        <v>4900000000</v>
      </c>
    </row>
    <row r="16" customFormat="false" ht="15" hidden="false" customHeight="true" outlineLevel="0" collapsed="false">
      <c r="A16" s="1" t="s">
        <v>16</v>
      </c>
      <c r="B16" s="2" t="n">
        <v>30000000000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8359375" defaultRowHeight="15" zeroHeight="false" outlineLevelRow="0" outlineLevelCol="0"/>
  <cols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v>140000</v>
      </c>
    </row>
    <row r="3" customFormat="false" ht="15" hidden="false" customHeight="true" outlineLevel="0" collapsed="false">
      <c r="A3" s="3" t="s">
        <v>17</v>
      </c>
      <c r="B3" s="1" t="n">
        <v>310000</v>
      </c>
    </row>
    <row r="4" customFormat="false" ht="15" hidden="false" customHeight="true" outlineLevel="0" collapsed="false">
      <c r="A4" s="1" t="s">
        <v>18</v>
      </c>
      <c r="B4" s="1" t="n">
        <v>78000</v>
      </c>
    </row>
    <row r="5" customFormat="false" ht="15" hidden="false" customHeight="true" outlineLevel="0" collapsed="false">
      <c r="A5" s="3" t="s">
        <v>4</v>
      </c>
      <c r="B5" s="1" t="n">
        <v>480000</v>
      </c>
    </row>
    <row r="6" customFormat="false" ht="15" hidden="false" customHeight="true" outlineLevel="0" collapsed="false">
      <c r="A6" s="1" t="s">
        <v>19</v>
      </c>
      <c r="B6" s="1" t="n">
        <v>260000</v>
      </c>
    </row>
    <row r="7" customFormat="false" ht="15" hidden="false" customHeight="true" outlineLevel="0" collapsed="false">
      <c r="A7" s="1" t="s">
        <v>20</v>
      </c>
      <c r="B7" s="1" t="n">
        <v>18000</v>
      </c>
    </row>
    <row r="8" customFormat="false" ht="15" hidden="false" customHeight="true" outlineLevel="0" collapsed="false">
      <c r="A8" s="1" t="s">
        <v>21</v>
      </c>
      <c r="B8" s="1" t="n">
        <v>26000</v>
      </c>
    </row>
    <row r="9" customFormat="false" ht="15" hidden="false" customHeight="true" outlineLevel="0" collapsed="false">
      <c r="A9" s="3" t="s">
        <v>11</v>
      </c>
      <c r="B9" s="1" t="n">
        <v>350000</v>
      </c>
    </row>
    <row r="10" customFormat="false" ht="15" hidden="false" customHeight="true" outlineLevel="0" collapsed="false">
      <c r="A10" s="1" t="s">
        <v>22</v>
      </c>
      <c r="B10" s="1" t="n">
        <v>50000</v>
      </c>
    </row>
    <row r="11" customFormat="false" ht="15" hidden="false" customHeight="true" outlineLevel="0" collapsed="false">
      <c r="A11" s="1" t="s">
        <v>23</v>
      </c>
      <c r="B11" s="1" t="n">
        <v>100000</v>
      </c>
    </row>
    <row r="12" customFormat="false" ht="15" hidden="false" customHeight="true" outlineLevel="0" collapsed="false">
      <c r="A12" s="3" t="s">
        <v>13</v>
      </c>
      <c r="B12" s="1" t="n">
        <v>60000</v>
      </c>
    </row>
    <row r="13" customFormat="false" ht="15" hidden="false" customHeight="true" outlineLevel="0" collapsed="false">
      <c r="A13" s="1" t="s">
        <v>16</v>
      </c>
      <c r="B13" s="1" t="n">
        <v>1900000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83593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17</v>
      </c>
      <c r="B2" s="1" t="n">
        <v>10000</v>
      </c>
    </row>
    <row r="3" customFormat="false" ht="15" hidden="false" customHeight="true" outlineLevel="0" collapsed="false">
      <c r="A3" s="1" t="s">
        <v>18</v>
      </c>
      <c r="B3" s="1" t="n">
        <v>5000</v>
      </c>
    </row>
    <row r="4" customFormat="false" ht="15" hidden="false" customHeight="true" outlineLevel="0" collapsed="false">
      <c r="A4" s="1" t="s">
        <v>4</v>
      </c>
      <c r="B4" s="1" t="n">
        <v>240000</v>
      </c>
    </row>
    <row r="5" customFormat="false" ht="15" hidden="false" customHeight="true" outlineLevel="0" collapsed="false">
      <c r="A5" s="1" t="s">
        <v>20</v>
      </c>
      <c r="B5" s="1" t="n">
        <v>10000</v>
      </c>
    </row>
    <row r="6" customFormat="false" ht="15" hidden="false" customHeight="true" outlineLevel="0" collapsed="false">
      <c r="A6" s="1" t="s">
        <v>14</v>
      </c>
      <c r="B6" s="1" t="n">
        <v>53000</v>
      </c>
    </row>
    <row r="7" customFormat="false" ht="15" hidden="false" customHeight="true" outlineLevel="0" collapsed="false">
      <c r="A7" s="1" t="s">
        <v>15</v>
      </c>
      <c r="B7" s="1" t="n">
        <v>50000</v>
      </c>
    </row>
    <row r="8" customFormat="false" ht="15" hidden="false" customHeight="true" outlineLevel="0" collapsed="false">
      <c r="A8" s="1" t="s">
        <v>16</v>
      </c>
      <c r="B8" s="1" t="n">
        <v>368000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83593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32000</v>
      </c>
    </row>
    <row r="3" customFormat="false" ht="15" hidden="false" customHeight="true" outlineLevel="0" collapsed="false">
      <c r="A3" s="1" t="s">
        <v>18</v>
      </c>
      <c r="B3" s="1" t="n">
        <v>23000</v>
      </c>
    </row>
    <row r="4" customFormat="false" ht="15" hidden="false" customHeight="true" outlineLevel="0" collapsed="false">
      <c r="A4" s="1" t="s">
        <v>4</v>
      </c>
      <c r="B4" s="1" t="n">
        <v>92000</v>
      </c>
    </row>
    <row r="5" customFormat="false" ht="15" hidden="false" customHeight="true" outlineLevel="0" collapsed="false">
      <c r="A5" s="1" t="s">
        <v>6</v>
      </c>
      <c r="B5" s="1" t="n">
        <v>35000</v>
      </c>
    </row>
    <row r="6" customFormat="false" ht="15" hidden="false" customHeight="true" outlineLevel="0" collapsed="false">
      <c r="A6" s="1" t="s">
        <v>9</v>
      </c>
      <c r="B6" s="1" t="n">
        <v>30000</v>
      </c>
    </row>
    <row r="7" customFormat="false" ht="15" hidden="false" customHeight="true" outlineLevel="0" collapsed="false">
      <c r="A7" s="1" t="s">
        <v>20</v>
      </c>
      <c r="B7" s="1" t="n">
        <v>47000</v>
      </c>
    </row>
    <row r="8" customFormat="false" ht="15" hidden="false" customHeight="true" outlineLevel="0" collapsed="false">
      <c r="A8" s="1" t="s">
        <v>24</v>
      </c>
      <c r="B8" s="1" t="n">
        <v>55000</v>
      </c>
    </row>
    <row r="9" customFormat="false" ht="15" hidden="false" customHeight="true" outlineLevel="0" collapsed="false">
      <c r="A9" s="1" t="s">
        <v>25</v>
      </c>
      <c r="B9" s="1" t="n">
        <v>16000</v>
      </c>
    </row>
    <row r="10" customFormat="false" ht="15" hidden="false" customHeight="true" outlineLevel="0" collapsed="false">
      <c r="A10" s="1" t="s">
        <v>11</v>
      </c>
      <c r="B10" s="1" t="n">
        <v>44000</v>
      </c>
    </row>
    <row r="11" customFormat="false" ht="15" hidden="false" customHeight="true" outlineLevel="0" collapsed="false">
      <c r="A11" s="1" t="s">
        <v>15</v>
      </c>
      <c r="B11" s="1" t="n">
        <v>130000</v>
      </c>
    </row>
    <row r="12" customFormat="false" ht="15" hidden="false" customHeight="true" outlineLevel="0" collapsed="false">
      <c r="A12" s="1" t="s">
        <v>16</v>
      </c>
      <c r="B12" s="1" t="n">
        <v>500000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1.8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620000</v>
      </c>
    </row>
    <row r="3" customFormat="false" ht="15" hidden="false" customHeight="true" outlineLevel="0" collapsed="false">
      <c r="A3" s="1" t="s">
        <v>26</v>
      </c>
      <c r="B3" s="1" t="n">
        <v>13000000</v>
      </c>
    </row>
    <row r="4" customFormat="false" ht="15" hidden="false" customHeight="true" outlineLevel="0" collapsed="false">
      <c r="A4" s="1" t="s">
        <v>6</v>
      </c>
      <c r="B4" s="1" t="n">
        <v>100000000</v>
      </c>
    </row>
    <row r="5" customFormat="false" ht="15" hidden="false" customHeight="true" outlineLevel="0" collapsed="false">
      <c r="A5" s="1" t="s">
        <v>9</v>
      </c>
      <c r="B5" s="1" t="n">
        <v>230000000</v>
      </c>
    </row>
    <row r="6" customFormat="false" ht="15" hidden="false" customHeight="true" outlineLevel="0" collapsed="false">
      <c r="A6" s="1" t="s">
        <v>27</v>
      </c>
      <c r="B6" s="1" t="n">
        <v>200000000</v>
      </c>
    </row>
    <row r="7" customFormat="false" ht="15" hidden="false" customHeight="true" outlineLevel="0" collapsed="false">
      <c r="A7" s="1" t="s">
        <v>23</v>
      </c>
      <c r="B7" s="1" t="n">
        <v>26000000</v>
      </c>
    </row>
    <row r="8" customFormat="false" ht="15" hidden="false" customHeight="true" outlineLevel="0" collapsed="false">
      <c r="A8" s="1" t="s">
        <v>16</v>
      </c>
      <c r="B8" s="1" t="n">
        <f aca="false">570000*1000</f>
        <v>570000000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2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A73" activeCellId="0" sqref="A73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.83"/>
    <col collapsed="false" customWidth="true" hidden="false" outlineLevel="0" max="2" min="2" style="1" width="13.51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28</v>
      </c>
      <c r="B2" s="2" t="n">
        <v>66000000</v>
      </c>
    </row>
    <row r="3" customFormat="false" ht="15" hidden="false" customHeight="true" outlineLevel="0" collapsed="false">
      <c r="A3" s="1" t="s">
        <v>29</v>
      </c>
      <c r="B3" s="2" t="n">
        <v>59000000</v>
      </c>
    </row>
    <row r="4" customFormat="false" ht="15" hidden="false" customHeight="true" outlineLevel="0" collapsed="false">
      <c r="A4" s="1" t="s">
        <v>30</v>
      </c>
      <c r="B4" s="2" t="n">
        <v>500000000</v>
      </c>
    </row>
    <row r="5" customFormat="false" ht="15" hidden="false" customHeight="true" outlineLevel="0" collapsed="false">
      <c r="A5" s="1" t="s">
        <v>31</v>
      </c>
      <c r="B5" s="2" t="n">
        <v>163000000</v>
      </c>
    </row>
    <row r="6" customFormat="false" ht="15" hidden="false" customHeight="true" outlineLevel="0" collapsed="false">
      <c r="A6" s="1" t="s">
        <v>2</v>
      </c>
      <c r="B6" s="2" t="n">
        <v>72571000000</v>
      </c>
    </row>
    <row r="7" customFormat="false" ht="15" hidden="false" customHeight="true" outlineLevel="0" collapsed="false">
      <c r="A7" s="1" t="s">
        <v>32</v>
      </c>
      <c r="B7" s="2" t="n">
        <v>293000000</v>
      </c>
    </row>
    <row r="8" customFormat="false" ht="15" hidden="false" customHeight="true" outlineLevel="0" collapsed="false">
      <c r="A8" s="1" t="s">
        <v>17</v>
      </c>
      <c r="B8" s="2" t="n">
        <v>1000000</v>
      </c>
    </row>
    <row r="9" customFormat="false" ht="15" hidden="false" customHeight="true" outlineLevel="0" collapsed="false">
      <c r="A9" s="1" t="s">
        <v>33</v>
      </c>
      <c r="B9" s="2" t="n">
        <v>1660000000</v>
      </c>
    </row>
    <row r="10" customFormat="false" ht="15" hidden="false" customHeight="true" outlineLevel="0" collapsed="false">
      <c r="A10" s="1" t="s">
        <v>3</v>
      </c>
      <c r="B10" s="2" t="n">
        <v>1547000000</v>
      </c>
    </row>
    <row r="11" customFormat="false" ht="15" hidden="false" customHeight="true" outlineLevel="0" collapsed="false">
      <c r="A11" s="1" t="s">
        <v>34</v>
      </c>
      <c r="B11" s="2" t="n">
        <v>192000000</v>
      </c>
    </row>
    <row r="12" customFormat="false" ht="15" hidden="false" customHeight="true" outlineLevel="0" collapsed="false">
      <c r="A12" s="1" t="s">
        <v>18</v>
      </c>
      <c r="B12" s="2" t="n">
        <v>4346000000</v>
      </c>
    </row>
    <row r="13" customFormat="false" ht="15" hidden="false" customHeight="true" outlineLevel="0" collapsed="false">
      <c r="A13" s="1" t="s">
        <v>35</v>
      </c>
      <c r="B13" s="2" t="n">
        <v>1181000000</v>
      </c>
    </row>
    <row r="14" customFormat="false" ht="15" hidden="false" customHeight="true" outlineLevel="0" collapsed="false">
      <c r="A14" s="1" t="s">
        <v>4</v>
      </c>
      <c r="B14" s="2" t="n">
        <v>133467000000</v>
      </c>
    </row>
    <row r="15" customFormat="false" ht="15" hidden="false" customHeight="true" outlineLevel="0" collapsed="false">
      <c r="A15" s="1" t="s">
        <v>36</v>
      </c>
      <c r="B15" s="2" t="n">
        <v>4554000000</v>
      </c>
    </row>
    <row r="16" customFormat="false" ht="15" hidden="false" customHeight="true" outlineLevel="0" collapsed="false">
      <c r="A16" s="1" t="s">
        <v>37</v>
      </c>
      <c r="B16" s="2" t="n">
        <v>88000000</v>
      </c>
    </row>
    <row r="17" customFormat="false" ht="15" hidden="false" customHeight="true" outlineLevel="0" collapsed="false">
      <c r="A17" s="1" t="s">
        <v>38</v>
      </c>
      <c r="B17" s="2" t="n">
        <v>413000000</v>
      </c>
    </row>
    <row r="18" customFormat="false" ht="15" hidden="false" customHeight="true" outlineLevel="0" collapsed="false">
      <c r="A18" s="1" t="s">
        <v>39</v>
      </c>
      <c r="B18" s="2" t="n">
        <v>16000000</v>
      </c>
    </row>
    <row r="19" customFormat="false" ht="15" hidden="false" customHeight="true" outlineLevel="0" collapsed="false">
      <c r="A19" s="1" t="s">
        <v>40</v>
      </c>
      <c r="B19" s="2" t="n">
        <v>144000000</v>
      </c>
    </row>
    <row r="20" customFormat="false" ht="15" hidden="false" customHeight="true" outlineLevel="0" collapsed="false">
      <c r="A20" s="1" t="s">
        <v>41</v>
      </c>
      <c r="B20" s="2" t="n">
        <v>201000000</v>
      </c>
    </row>
    <row r="21" customFormat="false" ht="15" hidden="false" customHeight="true" outlineLevel="0" collapsed="false">
      <c r="A21" s="1" t="s">
        <v>42</v>
      </c>
      <c r="B21" s="2" t="n">
        <v>183000000</v>
      </c>
    </row>
    <row r="22" customFormat="false" ht="15" hidden="false" customHeight="true" outlineLevel="0" collapsed="false">
      <c r="A22" s="1" t="s">
        <v>43</v>
      </c>
      <c r="B22" s="2" t="n">
        <v>276000000</v>
      </c>
    </row>
    <row r="23" customFormat="false" ht="15" hidden="false" customHeight="true" outlineLevel="0" collapsed="false">
      <c r="A23" s="1" t="s">
        <v>6</v>
      </c>
      <c r="B23" s="2" t="n">
        <v>100858000000</v>
      </c>
    </row>
    <row r="24" customFormat="false" ht="15" hidden="false" customHeight="true" outlineLevel="0" collapsed="false">
      <c r="A24" s="1" t="s">
        <v>7</v>
      </c>
      <c r="B24" s="2" t="n">
        <v>28163000000</v>
      </c>
    </row>
    <row r="25" customFormat="false" ht="15" hidden="false" customHeight="true" outlineLevel="0" collapsed="false">
      <c r="A25" s="1" t="s">
        <v>44</v>
      </c>
      <c r="B25" s="2" t="n">
        <v>1203000000</v>
      </c>
    </row>
    <row r="26" customFormat="false" ht="15" hidden="false" customHeight="true" outlineLevel="0" collapsed="false">
      <c r="A26" s="1" t="s">
        <v>45</v>
      </c>
      <c r="B26" s="2" t="n">
        <v>14000000</v>
      </c>
    </row>
    <row r="27" customFormat="false" ht="15" hidden="false" customHeight="true" outlineLevel="0" collapsed="false">
      <c r="A27" s="1" t="s">
        <v>46</v>
      </c>
      <c r="B27" s="2" t="n">
        <v>10000000</v>
      </c>
    </row>
    <row r="28" customFormat="false" ht="15" hidden="false" customHeight="true" outlineLevel="0" collapsed="false">
      <c r="A28" s="1" t="s">
        <v>47</v>
      </c>
      <c r="B28" s="2" t="n">
        <v>340000000</v>
      </c>
    </row>
    <row r="29" customFormat="false" ht="15" hidden="false" customHeight="true" outlineLevel="0" collapsed="false">
      <c r="A29" s="1" t="s">
        <v>9</v>
      </c>
      <c r="B29" s="2" t="n">
        <v>25605000000</v>
      </c>
    </row>
    <row r="30" customFormat="false" ht="15" hidden="false" customHeight="true" outlineLevel="0" collapsed="false">
      <c r="A30" s="1" t="s">
        <v>48</v>
      </c>
      <c r="B30" s="2" t="n">
        <v>600000000</v>
      </c>
    </row>
    <row r="31" customFormat="false" ht="15" hidden="false" customHeight="true" outlineLevel="0" collapsed="false">
      <c r="A31" s="1" t="s">
        <v>49</v>
      </c>
      <c r="B31" s="2" t="n">
        <v>326000000</v>
      </c>
    </row>
    <row r="32" customFormat="false" ht="15" hidden="false" customHeight="true" outlineLevel="0" collapsed="false">
      <c r="A32" s="1" t="s">
        <v>19</v>
      </c>
      <c r="B32" s="2" t="n">
        <v>971000000</v>
      </c>
    </row>
    <row r="33" customFormat="false" ht="15" hidden="false" customHeight="true" outlineLevel="0" collapsed="false">
      <c r="A33" s="1" t="s">
        <v>50</v>
      </c>
      <c r="B33" s="2" t="n">
        <v>4000000</v>
      </c>
    </row>
    <row r="34" customFormat="false" ht="15" hidden="false" customHeight="true" outlineLevel="0" collapsed="false">
      <c r="A34" s="1" t="s">
        <v>51</v>
      </c>
      <c r="B34" s="2" t="n">
        <v>2000000</v>
      </c>
    </row>
    <row r="35" customFormat="false" ht="15" hidden="false" customHeight="true" outlineLevel="0" collapsed="false">
      <c r="A35" s="1" t="s">
        <v>10</v>
      </c>
      <c r="B35" s="2" t="n">
        <v>148000000</v>
      </c>
    </row>
    <row r="36" customFormat="false" ht="15" hidden="false" customHeight="true" outlineLevel="0" collapsed="false">
      <c r="A36" s="1" t="s">
        <v>20</v>
      </c>
      <c r="B36" s="2" t="n">
        <v>1160000000</v>
      </c>
    </row>
    <row r="37" customFormat="false" ht="15" hidden="false" customHeight="true" outlineLevel="0" collapsed="false">
      <c r="A37" s="1" t="s">
        <v>52</v>
      </c>
      <c r="B37" s="2" t="n">
        <v>1170000000</v>
      </c>
    </row>
    <row r="38" customFormat="false" ht="15" hidden="false" customHeight="true" outlineLevel="0" collapsed="false">
      <c r="A38" s="1" t="s">
        <v>53</v>
      </c>
      <c r="B38" s="2" t="n">
        <v>142000000</v>
      </c>
    </row>
    <row r="39" customFormat="false" ht="15" hidden="false" customHeight="true" outlineLevel="0" collapsed="false">
      <c r="A39" s="1" t="s">
        <v>54</v>
      </c>
      <c r="B39" s="2" t="n">
        <v>14000000</v>
      </c>
    </row>
    <row r="40" customFormat="false" ht="15" hidden="false" customHeight="true" outlineLevel="0" collapsed="false">
      <c r="A40" s="1" t="s">
        <v>55</v>
      </c>
      <c r="B40" s="2" t="n">
        <v>1792000000</v>
      </c>
    </row>
    <row r="41" customFormat="false" ht="15" hidden="false" customHeight="true" outlineLevel="0" collapsed="false">
      <c r="A41" s="1" t="s">
        <v>56</v>
      </c>
      <c r="B41" s="2" t="n">
        <v>3000000</v>
      </c>
    </row>
    <row r="42" customFormat="false" ht="15" hidden="false" customHeight="true" outlineLevel="0" collapsed="false">
      <c r="A42" s="1" t="s">
        <v>57</v>
      </c>
      <c r="B42" s="2" t="n">
        <v>1000000</v>
      </c>
    </row>
    <row r="43" customFormat="false" ht="15" hidden="false" customHeight="true" outlineLevel="0" collapsed="false">
      <c r="A43" s="1" t="s">
        <v>58</v>
      </c>
      <c r="B43" s="2" t="n">
        <v>497000000</v>
      </c>
    </row>
    <row r="44" customFormat="false" ht="15" hidden="false" customHeight="true" outlineLevel="0" collapsed="false">
      <c r="A44" s="1" t="s">
        <v>59</v>
      </c>
      <c r="B44" s="2" t="n">
        <v>2000000</v>
      </c>
    </row>
    <row r="45" customFormat="false" ht="15" hidden="false" customHeight="true" outlineLevel="0" collapsed="false">
      <c r="A45" s="1" t="s">
        <v>60</v>
      </c>
      <c r="B45" s="2" t="n">
        <v>825000000</v>
      </c>
    </row>
    <row r="46" customFormat="false" ht="15" hidden="false" customHeight="true" outlineLevel="0" collapsed="false">
      <c r="A46" s="1" t="s">
        <v>61</v>
      </c>
      <c r="B46" s="2" t="n">
        <v>287000000</v>
      </c>
    </row>
    <row r="47" customFormat="false" ht="15" hidden="false" customHeight="true" outlineLevel="0" collapsed="false">
      <c r="A47" s="1" t="s">
        <v>62</v>
      </c>
      <c r="B47" s="2" t="n">
        <v>2000000</v>
      </c>
    </row>
    <row r="48" customFormat="false" ht="15" hidden="false" customHeight="true" outlineLevel="0" collapsed="false">
      <c r="A48" s="1" t="s">
        <v>21</v>
      </c>
      <c r="B48" s="2" t="n">
        <v>207000000</v>
      </c>
    </row>
    <row r="49" customFormat="false" ht="15" hidden="false" customHeight="true" outlineLevel="0" collapsed="false">
      <c r="A49" s="1" t="s">
        <v>24</v>
      </c>
      <c r="B49" s="2" t="n">
        <v>102000000</v>
      </c>
    </row>
    <row r="50" customFormat="false" ht="15" hidden="false" customHeight="true" outlineLevel="0" collapsed="false">
      <c r="A50" s="1" t="s">
        <v>63</v>
      </c>
      <c r="B50" s="2" t="n">
        <v>215000000</v>
      </c>
    </row>
    <row r="51" customFormat="false" ht="15" hidden="false" customHeight="true" outlineLevel="0" collapsed="false">
      <c r="A51" s="1" t="s">
        <v>25</v>
      </c>
      <c r="B51" s="2" t="n">
        <v>21067000000</v>
      </c>
    </row>
    <row r="52" customFormat="false" ht="15" hidden="false" customHeight="true" outlineLevel="0" collapsed="false">
      <c r="A52" s="1" t="s">
        <v>64</v>
      </c>
      <c r="B52" s="2" t="n">
        <v>3000000</v>
      </c>
    </row>
    <row r="53" customFormat="false" ht="15" hidden="false" customHeight="true" outlineLevel="0" collapsed="false">
      <c r="A53" s="1" t="s">
        <v>65</v>
      </c>
      <c r="B53" s="2" t="n">
        <v>11000000</v>
      </c>
    </row>
    <row r="54" customFormat="false" ht="15" hidden="false" customHeight="true" outlineLevel="0" collapsed="false">
      <c r="A54" s="1" t="s">
        <v>11</v>
      </c>
      <c r="B54" s="2" t="n">
        <v>71719000000</v>
      </c>
    </row>
    <row r="55" customFormat="false" ht="15" hidden="false" customHeight="true" outlineLevel="0" collapsed="false">
      <c r="A55" s="1" t="s">
        <v>66</v>
      </c>
      <c r="B55" s="2" t="n">
        <v>402000000</v>
      </c>
    </row>
    <row r="56" customFormat="false" ht="15" hidden="false" customHeight="true" outlineLevel="0" collapsed="false">
      <c r="A56" s="1" t="s">
        <v>67</v>
      </c>
      <c r="B56" s="2" t="n">
        <v>56000000</v>
      </c>
    </row>
    <row r="57" customFormat="false" ht="15" hidden="false" customHeight="true" outlineLevel="0" collapsed="false">
      <c r="A57" s="1" t="s">
        <v>27</v>
      </c>
      <c r="B57" s="2" t="n">
        <v>9893000000</v>
      </c>
    </row>
    <row r="58" customFormat="false" ht="15" hidden="false" customHeight="true" outlineLevel="0" collapsed="false">
      <c r="A58" s="1" t="s">
        <v>68</v>
      </c>
      <c r="B58" s="2" t="n">
        <v>868000000</v>
      </c>
    </row>
    <row r="59" customFormat="false" ht="15" hidden="false" customHeight="true" outlineLevel="0" collapsed="false">
      <c r="A59" s="1" t="s">
        <v>69</v>
      </c>
      <c r="B59" s="2" t="n">
        <v>1000000</v>
      </c>
    </row>
    <row r="60" customFormat="false" ht="15" hidden="false" customHeight="true" outlineLevel="0" collapsed="false">
      <c r="A60" s="1" t="s">
        <v>70</v>
      </c>
      <c r="B60" s="2" t="n">
        <v>1000000</v>
      </c>
    </row>
    <row r="61" customFormat="false" ht="15" hidden="false" customHeight="true" outlineLevel="0" collapsed="false">
      <c r="A61" s="1" t="s">
        <v>22</v>
      </c>
      <c r="B61" s="2" t="n">
        <v>375000000</v>
      </c>
    </row>
    <row r="62" customFormat="false" ht="15" hidden="false" customHeight="true" outlineLevel="0" collapsed="false">
      <c r="A62" s="1" t="s">
        <v>71</v>
      </c>
      <c r="B62" s="2" t="n">
        <v>269000000</v>
      </c>
    </row>
    <row r="63" customFormat="false" ht="15" hidden="false" customHeight="true" outlineLevel="0" collapsed="false">
      <c r="A63" s="1" t="s">
        <v>23</v>
      </c>
      <c r="B63" s="2" t="n">
        <v>550000000</v>
      </c>
    </row>
    <row r="64" customFormat="false" ht="15" hidden="false" customHeight="true" outlineLevel="0" collapsed="false">
      <c r="A64" s="1" t="s">
        <v>72</v>
      </c>
      <c r="B64" s="2" t="n">
        <v>32039000000</v>
      </c>
    </row>
    <row r="65" customFormat="false" ht="15" hidden="false" customHeight="true" outlineLevel="0" collapsed="false">
      <c r="A65" s="1" t="s">
        <v>73</v>
      </c>
      <c r="B65" s="2" t="n">
        <v>26000000</v>
      </c>
    </row>
    <row r="66" customFormat="false" ht="15" hidden="false" customHeight="true" outlineLevel="0" collapsed="false">
      <c r="A66" s="1" t="s">
        <v>13</v>
      </c>
      <c r="B66" s="2" t="n">
        <v>219534000000</v>
      </c>
    </row>
    <row r="67" customFormat="false" ht="15" hidden="false" customHeight="true" outlineLevel="0" collapsed="false">
      <c r="A67" s="1" t="s">
        <v>74</v>
      </c>
      <c r="B67" s="2" t="n">
        <v>1375000000</v>
      </c>
    </row>
    <row r="68" customFormat="false" ht="15" hidden="false" customHeight="true" outlineLevel="0" collapsed="false">
      <c r="A68" s="1" t="s">
        <v>75</v>
      </c>
      <c r="B68" s="2" t="n">
        <v>731000000</v>
      </c>
    </row>
    <row r="69" customFormat="false" ht="15" hidden="false" customHeight="true" outlineLevel="0" collapsed="false">
      <c r="A69" s="1" t="s">
        <v>14</v>
      </c>
      <c r="B69" s="2" t="n">
        <v>3116000000</v>
      </c>
    </row>
    <row r="70" customFormat="false" ht="15" hidden="false" customHeight="true" outlineLevel="0" collapsed="false">
      <c r="A70" s="1" t="s">
        <v>76</v>
      </c>
      <c r="B70" s="2" t="n">
        <v>45000000</v>
      </c>
    </row>
    <row r="71" customFormat="false" ht="15" hidden="false" customHeight="true" outlineLevel="0" collapsed="false">
      <c r="A71" s="1" t="s">
        <v>77</v>
      </c>
      <c r="B71" s="2" t="n">
        <v>502000000</v>
      </c>
    </row>
    <row r="72" customFormat="false" ht="15" hidden="false" customHeight="true" outlineLevel="0" collapsed="false">
      <c r="A72" s="1" t="s">
        <v>16</v>
      </c>
      <c r="B72" s="4" t="n">
        <v>749167000000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53000</v>
      </c>
    </row>
    <row r="3" customFormat="false" ht="15" hidden="false" customHeight="true" outlineLevel="0" collapsed="false">
      <c r="A3" s="1" t="s">
        <v>2</v>
      </c>
      <c r="B3" s="1" t="n">
        <v>1400000</v>
      </c>
    </row>
    <row r="4" customFormat="false" ht="15" hidden="false" customHeight="true" outlineLevel="0" collapsed="false">
      <c r="A4" s="1" t="s">
        <v>18</v>
      </c>
      <c r="B4" s="1" t="n">
        <v>220000</v>
      </c>
    </row>
    <row r="5" customFormat="false" ht="15" hidden="false" customHeight="true" outlineLevel="0" collapsed="false">
      <c r="A5" s="3" t="s">
        <v>4</v>
      </c>
      <c r="B5" s="1" t="n">
        <v>80000</v>
      </c>
    </row>
    <row r="6" customFormat="false" ht="15" hidden="false" customHeight="true" outlineLevel="0" collapsed="false">
      <c r="A6" s="1" t="s">
        <v>37</v>
      </c>
      <c r="B6" s="1" t="n">
        <v>3600000</v>
      </c>
    </row>
    <row r="7" customFormat="false" ht="15" hidden="false" customHeight="true" outlineLevel="0" collapsed="false">
      <c r="A7" s="1" t="s">
        <v>78</v>
      </c>
      <c r="B7" s="1" t="n">
        <v>500000</v>
      </c>
    </row>
    <row r="8" customFormat="false" ht="15" hidden="false" customHeight="true" outlineLevel="0" collapsed="false">
      <c r="A8" s="1" t="s">
        <v>79</v>
      </c>
      <c r="B8" s="1" t="n">
        <v>100000</v>
      </c>
    </row>
    <row r="9" customFormat="false" ht="15" hidden="false" customHeight="true" outlineLevel="0" collapsed="false">
      <c r="A9" s="3" t="s">
        <v>54</v>
      </c>
      <c r="B9" s="1" t="n">
        <v>14000</v>
      </c>
    </row>
    <row r="10" customFormat="false" ht="15" hidden="false" customHeight="true" outlineLevel="0" collapsed="false">
      <c r="A10" s="1" t="s">
        <v>80</v>
      </c>
      <c r="B10" s="1" t="n">
        <v>51000</v>
      </c>
    </row>
    <row r="11" customFormat="false" ht="15" hidden="false" customHeight="true" outlineLevel="0" collapsed="false">
      <c r="A11" s="1" t="s">
        <v>63</v>
      </c>
      <c r="B11" s="1" t="n">
        <v>260000</v>
      </c>
    </row>
    <row r="12" customFormat="false" ht="15" hidden="false" customHeight="true" outlineLevel="0" collapsed="false">
      <c r="A12" s="1" t="s">
        <v>11</v>
      </c>
      <c r="B12" s="1" t="n">
        <v>250000</v>
      </c>
    </row>
    <row r="13" customFormat="false" ht="15" hidden="false" customHeight="true" outlineLevel="0" collapsed="false">
      <c r="A13" s="1" t="s">
        <v>27</v>
      </c>
      <c r="B13" s="1" t="n">
        <v>40000</v>
      </c>
    </row>
    <row r="14" customFormat="false" ht="15" hidden="false" customHeight="true" outlineLevel="0" collapsed="false">
      <c r="A14" s="1" t="s">
        <v>15</v>
      </c>
      <c r="B14" s="1" t="n">
        <v>560000</v>
      </c>
    </row>
    <row r="15" customFormat="false" ht="15" hidden="false" customHeight="true" outlineLevel="0" collapsed="false">
      <c r="A15" s="1" t="s">
        <v>16</v>
      </c>
      <c r="B15" s="1" t="n">
        <v>7100000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1.3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48000000</v>
      </c>
    </row>
    <row r="3" customFormat="false" ht="15" hidden="false" customHeight="true" outlineLevel="0" collapsed="false">
      <c r="A3" s="1" t="s">
        <v>2</v>
      </c>
      <c r="B3" s="1" t="n">
        <v>88000000</v>
      </c>
    </row>
    <row r="4" customFormat="false" ht="15" hidden="false" customHeight="true" outlineLevel="0" collapsed="false">
      <c r="A4" s="1" t="s">
        <v>18</v>
      </c>
      <c r="B4" s="1" t="n">
        <v>9000000</v>
      </c>
    </row>
    <row r="5" customFormat="false" ht="15" hidden="false" customHeight="true" outlineLevel="0" collapsed="false">
      <c r="A5" s="1" t="s">
        <v>35</v>
      </c>
      <c r="B5" s="1" t="n">
        <v>200000000</v>
      </c>
    </row>
    <row r="6" customFormat="false" ht="15" hidden="false" customHeight="true" outlineLevel="0" collapsed="false">
      <c r="A6" s="1" t="s">
        <v>4</v>
      </c>
      <c r="B6" s="1" t="n">
        <v>26000000</v>
      </c>
    </row>
    <row r="7" customFormat="false" ht="15" hidden="false" customHeight="true" outlineLevel="0" collapsed="false">
      <c r="A7" s="1" t="s">
        <v>37</v>
      </c>
      <c r="B7" s="1" t="n">
        <v>19000000</v>
      </c>
    </row>
    <row r="8" customFormat="false" ht="15" hidden="false" customHeight="true" outlineLevel="0" collapsed="false">
      <c r="A8" s="1" t="s">
        <v>81</v>
      </c>
      <c r="B8" s="1" t="n">
        <v>2000000</v>
      </c>
    </row>
    <row r="9" customFormat="false" ht="15" hidden="false" customHeight="true" outlineLevel="0" collapsed="false">
      <c r="A9" s="3" t="s">
        <v>9</v>
      </c>
      <c r="B9" s="1" t="n">
        <v>20000000</v>
      </c>
    </row>
    <row r="10" customFormat="false" ht="15" hidden="false" customHeight="true" outlineLevel="0" collapsed="false">
      <c r="A10" s="1" t="s">
        <v>20</v>
      </c>
      <c r="B10" s="1" t="n">
        <v>53000000</v>
      </c>
    </row>
    <row r="11" customFormat="false" ht="15" hidden="false" customHeight="true" outlineLevel="0" collapsed="false">
      <c r="A11" s="1" t="s">
        <v>24</v>
      </c>
      <c r="B11" s="1" t="n">
        <v>92000000</v>
      </c>
    </row>
    <row r="12" customFormat="false" ht="15" hidden="false" customHeight="true" outlineLevel="0" collapsed="false">
      <c r="A12" s="1" t="s">
        <v>25</v>
      </c>
      <c r="B12" s="1" t="n">
        <v>32000000</v>
      </c>
    </row>
    <row r="13" customFormat="false" ht="15" hidden="false" customHeight="true" outlineLevel="0" collapsed="false">
      <c r="A13" s="1" t="s">
        <v>11</v>
      </c>
      <c r="B13" s="1" t="n">
        <v>61000000</v>
      </c>
    </row>
    <row r="14" customFormat="false" ht="15" hidden="false" customHeight="true" outlineLevel="0" collapsed="false">
      <c r="A14" s="1" t="s">
        <v>76</v>
      </c>
      <c r="B14" s="1" t="n">
        <v>21000000</v>
      </c>
    </row>
    <row r="15" customFormat="false" ht="15" hidden="false" customHeight="true" outlineLevel="0" collapsed="false">
      <c r="A15" s="1" t="s">
        <v>15</v>
      </c>
      <c r="B15" s="1" t="n">
        <v>200000000</v>
      </c>
    </row>
    <row r="16" customFormat="false" ht="15" hidden="false" customHeight="true" outlineLevel="0" collapsed="false">
      <c r="A16" s="1" t="s">
        <v>16</v>
      </c>
      <c r="B16" s="1" t="n">
        <v>870000000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7"/>
  <sheetViews>
    <sheetView showFormulas="false" showGridLines="true" showRowColHeaders="true" showZeros="true" rightToLeft="false" tabSelected="false" showOutlineSymbols="true" defaultGridColor="true" view="normal" topLeftCell="A68" colorId="64" zoomScale="100" zoomScaleNormal="100" zoomScalePageLayoutView="100" workbookViewId="0">
      <selection pane="topLeft" activeCell="A108" activeCellId="0" sqref="A108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8.17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28</v>
      </c>
      <c r="B2" s="2" t="n">
        <v>12000000</v>
      </c>
    </row>
    <row r="3" customFormat="false" ht="15" hidden="false" customHeight="true" outlineLevel="0" collapsed="false">
      <c r="A3" s="1" t="s">
        <v>82</v>
      </c>
      <c r="B3" s="2" t="n">
        <v>20000000</v>
      </c>
    </row>
    <row r="4" customFormat="false" ht="15" hidden="false" customHeight="true" outlineLevel="0" collapsed="false">
      <c r="A4" s="1" t="s">
        <v>29</v>
      </c>
      <c r="B4" s="2" t="n">
        <v>1660000000</v>
      </c>
    </row>
    <row r="5" customFormat="false" ht="15" hidden="false" customHeight="true" outlineLevel="0" collapsed="false">
      <c r="A5" s="1" t="s">
        <v>83</v>
      </c>
      <c r="B5" s="2" t="n">
        <v>1141000000</v>
      </c>
    </row>
    <row r="6" customFormat="false" ht="15" hidden="false" customHeight="true" outlineLevel="0" collapsed="false">
      <c r="A6" s="1" t="s">
        <v>30</v>
      </c>
      <c r="B6" s="2" t="n">
        <v>274000000</v>
      </c>
    </row>
    <row r="7" customFormat="false" ht="15" hidden="false" customHeight="true" outlineLevel="0" collapsed="false">
      <c r="A7" s="1" t="s">
        <v>2</v>
      </c>
      <c r="B7" s="2" t="n">
        <v>337000000</v>
      </c>
    </row>
    <row r="8" customFormat="false" ht="15" hidden="false" customHeight="true" outlineLevel="0" collapsed="false">
      <c r="A8" s="1" t="s">
        <v>84</v>
      </c>
      <c r="B8" s="2" t="n">
        <v>6000000</v>
      </c>
    </row>
    <row r="9" customFormat="false" ht="15" hidden="false" customHeight="true" outlineLevel="0" collapsed="false">
      <c r="A9" s="1" t="s">
        <v>85</v>
      </c>
      <c r="B9" s="2" t="n">
        <v>952000000</v>
      </c>
    </row>
    <row r="10" customFormat="false" ht="15" hidden="false" customHeight="true" outlineLevel="0" collapsed="false">
      <c r="A10" s="1" t="s">
        <v>86</v>
      </c>
      <c r="B10" s="2" t="n">
        <v>15000000</v>
      </c>
    </row>
    <row r="11" customFormat="false" ht="15" hidden="false" customHeight="true" outlineLevel="0" collapsed="false">
      <c r="A11" s="1" t="s">
        <v>32</v>
      </c>
      <c r="B11" s="2" t="n">
        <v>4000000</v>
      </c>
    </row>
    <row r="12" customFormat="false" ht="15" hidden="false" customHeight="true" outlineLevel="0" collapsed="false">
      <c r="A12" s="1" t="s">
        <v>87</v>
      </c>
      <c r="B12" s="2" t="n">
        <v>500000</v>
      </c>
    </row>
    <row r="13" customFormat="false" ht="15" hidden="false" customHeight="true" outlineLevel="0" collapsed="false">
      <c r="A13" s="1" t="s">
        <v>88</v>
      </c>
      <c r="B13" s="2" t="n">
        <v>27000000</v>
      </c>
    </row>
    <row r="14" customFormat="false" ht="15" hidden="false" customHeight="true" outlineLevel="0" collapsed="false">
      <c r="A14" s="1" t="s">
        <v>89</v>
      </c>
      <c r="B14" s="2" t="n">
        <v>1000000</v>
      </c>
    </row>
    <row r="15" customFormat="false" ht="15" hidden="false" customHeight="true" outlineLevel="0" collapsed="false">
      <c r="A15" s="1" t="s">
        <v>90</v>
      </c>
      <c r="B15" s="2" t="n">
        <v>1000000</v>
      </c>
    </row>
    <row r="16" customFormat="false" ht="15" hidden="false" customHeight="true" outlineLevel="0" collapsed="false">
      <c r="A16" s="1" t="s">
        <v>17</v>
      </c>
      <c r="B16" s="2" t="n">
        <v>29000000</v>
      </c>
    </row>
    <row r="17" customFormat="false" ht="15" hidden="false" customHeight="true" outlineLevel="0" collapsed="false">
      <c r="A17" s="1" t="s">
        <v>3</v>
      </c>
      <c r="B17" s="2" t="n">
        <v>1853000000</v>
      </c>
    </row>
    <row r="18" customFormat="false" ht="15" hidden="false" customHeight="true" outlineLevel="0" collapsed="false">
      <c r="A18" s="1" t="s">
        <v>91</v>
      </c>
      <c r="B18" s="2" t="n">
        <v>150000000</v>
      </c>
    </row>
    <row r="19" customFormat="false" ht="15" hidden="false" customHeight="true" outlineLevel="0" collapsed="false">
      <c r="A19" s="1" t="s">
        <v>34</v>
      </c>
      <c r="B19" s="2" t="n">
        <v>2000000</v>
      </c>
    </row>
    <row r="20" customFormat="false" ht="15" hidden="false" customHeight="true" outlineLevel="0" collapsed="false">
      <c r="A20" s="1" t="s">
        <v>92</v>
      </c>
      <c r="B20" s="2" t="n">
        <v>27000000</v>
      </c>
    </row>
    <row r="21" customFormat="false" ht="15" hidden="false" customHeight="true" outlineLevel="0" collapsed="false">
      <c r="A21" s="1" t="s">
        <v>18</v>
      </c>
      <c r="B21" s="2" t="n">
        <v>26366000000</v>
      </c>
    </row>
    <row r="22" customFormat="false" ht="15" hidden="false" customHeight="true" outlineLevel="0" collapsed="false">
      <c r="A22" s="1" t="s">
        <v>93</v>
      </c>
      <c r="B22" s="2" t="n">
        <v>216000000</v>
      </c>
    </row>
    <row r="23" customFormat="false" ht="15" hidden="false" customHeight="true" outlineLevel="0" collapsed="false">
      <c r="A23" s="1" t="s">
        <v>35</v>
      </c>
      <c r="B23" s="2" t="n">
        <v>20000000</v>
      </c>
    </row>
    <row r="24" customFormat="false" ht="15" hidden="false" customHeight="true" outlineLevel="0" collapsed="false">
      <c r="A24" s="1" t="s">
        <v>4</v>
      </c>
      <c r="B24" s="2" t="n">
        <v>3540000000</v>
      </c>
    </row>
    <row r="25" customFormat="false" ht="15" hidden="false" customHeight="true" outlineLevel="0" collapsed="false">
      <c r="A25" s="1" t="s">
        <v>36</v>
      </c>
      <c r="B25" s="2" t="n">
        <v>242000000</v>
      </c>
    </row>
    <row r="26" customFormat="false" ht="15" hidden="false" customHeight="true" outlineLevel="0" collapsed="false">
      <c r="A26" s="1" t="s">
        <v>94</v>
      </c>
      <c r="B26" s="2" t="n">
        <v>10000000</v>
      </c>
    </row>
    <row r="27" customFormat="false" ht="15" hidden="false" customHeight="true" outlineLevel="0" collapsed="false">
      <c r="A27" s="1" t="s">
        <v>78</v>
      </c>
      <c r="B27" s="2" t="n">
        <v>17000000</v>
      </c>
    </row>
    <row r="28" customFormat="false" ht="15" hidden="false" customHeight="true" outlineLevel="0" collapsed="false">
      <c r="A28" s="1" t="s">
        <v>38</v>
      </c>
      <c r="B28" s="2" t="n">
        <v>1000000</v>
      </c>
    </row>
    <row r="29" customFormat="false" ht="15" hidden="false" customHeight="true" outlineLevel="0" collapsed="false">
      <c r="A29" s="1" t="s">
        <v>37</v>
      </c>
      <c r="B29" s="2" t="n">
        <v>24000000</v>
      </c>
    </row>
    <row r="30" customFormat="false" ht="15" hidden="false" customHeight="true" outlineLevel="0" collapsed="false">
      <c r="A30" s="1" t="s">
        <v>95</v>
      </c>
      <c r="B30" s="2" t="n">
        <v>58000000</v>
      </c>
    </row>
    <row r="31" customFormat="false" ht="15" hidden="false" customHeight="true" outlineLevel="0" collapsed="false">
      <c r="A31" s="1" t="s">
        <v>96</v>
      </c>
      <c r="B31" s="2" t="n">
        <v>1126000000</v>
      </c>
    </row>
    <row r="32" customFormat="false" ht="15" hidden="false" customHeight="true" outlineLevel="0" collapsed="false">
      <c r="A32" s="1" t="s">
        <v>39</v>
      </c>
      <c r="B32" s="2" t="n">
        <v>418000000</v>
      </c>
    </row>
    <row r="33" customFormat="false" ht="15" hidden="false" customHeight="true" outlineLevel="0" collapsed="false">
      <c r="A33" s="1" t="s">
        <v>97</v>
      </c>
      <c r="B33" s="2" t="n">
        <v>150000000</v>
      </c>
    </row>
    <row r="34" customFormat="false" ht="15" hidden="false" customHeight="true" outlineLevel="0" collapsed="false">
      <c r="A34" s="1" t="s">
        <v>98</v>
      </c>
      <c r="B34" s="2" t="n">
        <v>172000000</v>
      </c>
    </row>
    <row r="35" customFormat="false" ht="15" hidden="false" customHeight="true" outlineLevel="0" collapsed="false">
      <c r="A35" s="1" t="s">
        <v>99</v>
      </c>
      <c r="B35" s="2" t="n">
        <v>8000000</v>
      </c>
    </row>
    <row r="36" customFormat="false" ht="15" hidden="false" customHeight="true" outlineLevel="0" collapsed="false">
      <c r="A36" s="1" t="s">
        <v>100</v>
      </c>
      <c r="B36" s="2" t="n">
        <v>272000000</v>
      </c>
    </row>
    <row r="37" customFormat="false" ht="15" hidden="false" customHeight="true" outlineLevel="0" collapsed="false">
      <c r="A37" s="1" t="s">
        <v>41</v>
      </c>
      <c r="B37" s="2" t="n">
        <v>5000000</v>
      </c>
    </row>
    <row r="38" customFormat="false" ht="15" hidden="false" customHeight="true" outlineLevel="0" collapsed="false">
      <c r="A38" s="1" t="s">
        <v>81</v>
      </c>
      <c r="B38" s="2" t="n">
        <v>29000000</v>
      </c>
    </row>
    <row r="39" customFormat="false" ht="15" hidden="false" customHeight="true" outlineLevel="0" collapsed="false">
      <c r="A39" s="1" t="s">
        <v>101</v>
      </c>
      <c r="B39" s="2" t="n">
        <v>90000000</v>
      </c>
    </row>
    <row r="40" customFormat="false" ht="15" hidden="false" customHeight="true" outlineLevel="0" collapsed="false">
      <c r="A40" s="1" t="s">
        <v>102</v>
      </c>
      <c r="B40" s="2" t="n">
        <v>1000000</v>
      </c>
    </row>
    <row r="41" customFormat="false" ht="15" hidden="false" customHeight="true" outlineLevel="0" collapsed="false">
      <c r="A41" s="1" t="s">
        <v>103</v>
      </c>
      <c r="B41" s="2" t="n">
        <v>20000000</v>
      </c>
    </row>
    <row r="42" customFormat="false" ht="15" hidden="false" customHeight="true" outlineLevel="0" collapsed="false">
      <c r="A42" s="1" t="s">
        <v>43</v>
      </c>
      <c r="B42" s="2" t="n">
        <v>3000000</v>
      </c>
    </row>
    <row r="43" customFormat="false" ht="15" hidden="false" customHeight="true" outlineLevel="0" collapsed="false">
      <c r="A43" s="1" t="s">
        <v>6</v>
      </c>
      <c r="B43" s="2" t="n">
        <v>594000000</v>
      </c>
    </row>
    <row r="44" customFormat="false" ht="15" hidden="false" customHeight="true" outlineLevel="0" collapsed="false">
      <c r="A44" s="1" t="s">
        <v>7</v>
      </c>
      <c r="B44" s="2" t="n">
        <v>428000000</v>
      </c>
    </row>
    <row r="45" customFormat="false" ht="15" hidden="false" customHeight="true" outlineLevel="0" collapsed="false">
      <c r="A45" s="1" t="s">
        <v>44</v>
      </c>
      <c r="B45" s="2" t="n">
        <v>21170000000</v>
      </c>
    </row>
    <row r="46" customFormat="false" ht="15" hidden="false" customHeight="true" outlineLevel="0" collapsed="false">
      <c r="A46" s="1" t="s">
        <v>104</v>
      </c>
      <c r="B46" s="2" t="n">
        <v>19730000000</v>
      </c>
    </row>
    <row r="47" customFormat="false" ht="15" hidden="false" customHeight="true" outlineLevel="0" collapsed="false">
      <c r="A47" s="1" t="s">
        <v>105</v>
      </c>
      <c r="B47" s="2" t="n">
        <v>2000000</v>
      </c>
    </row>
    <row r="48" customFormat="false" ht="15" hidden="false" customHeight="true" outlineLevel="0" collapsed="false">
      <c r="A48" s="1" t="s">
        <v>46</v>
      </c>
      <c r="B48" s="2" t="n">
        <v>76000000</v>
      </c>
    </row>
    <row r="49" customFormat="false" ht="15" hidden="false" customHeight="true" outlineLevel="0" collapsed="false">
      <c r="A49" s="1" t="s">
        <v>106</v>
      </c>
      <c r="B49" s="2" t="n">
        <v>14000000</v>
      </c>
    </row>
    <row r="50" customFormat="false" ht="15" hidden="false" customHeight="true" outlineLevel="0" collapsed="false">
      <c r="A50" s="1" t="s">
        <v>47</v>
      </c>
      <c r="B50" s="2" t="n">
        <v>6000000</v>
      </c>
    </row>
    <row r="51" customFormat="false" ht="15" hidden="false" customHeight="true" outlineLevel="0" collapsed="false">
      <c r="A51" s="1" t="s">
        <v>107</v>
      </c>
      <c r="B51" s="2" t="n">
        <v>500000</v>
      </c>
    </row>
    <row r="52" customFormat="false" ht="15" hidden="false" customHeight="true" outlineLevel="0" collapsed="false">
      <c r="A52" s="1" t="s">
        <v>9</v>
      </c>
      <c r="B52" s="2" t="n">
        <v>4082000000</v>
      </c>
    </row>
    <row r="53" customFormat="false" ht="15" hidden="false" customHeight="true" outlineLevel="0" collapsed="false">
      <c r="A53" s="1" t="s">
        <v>108</v>
      </c>
      <c r="B53" s="2" t="n">
        <v>13810000000</v>
      </c>
    </row>
    <row r="54" customFormat="false" ht="15" hidden="false" customHeight="true" outlineLevel="0" collapsed="false">
      <c r="A54" s="1" t="s">
        <v>19</v>
      </c>
      <c r="B54" s="2" t="n">
        <v>5000000</v>
      </c>
    </row>
    <row r="55" customFormat="false" ht="15" hidden="false" customHeight="true" outlineLevel="0" collapsed="false">
      <c r="A55" s="1" t="s">
        <v>109</v>
      </c>
      <c r="B55" s="2" t="n">
        <v>6580000000</v>
      </c>
    </row>
    <row r="56" customFormat="false" ht="15" hidden="false" customHeight="true" outlineLevel="0" collapsed="false">
      <c r="A56" s="1" t="s">
        <v>110</v>
      </c>
      <c r="B56" s="2" t="n">
        <v>2000000</v>
      </c>
    </row>
    <row r="57" customFormat="false" ht="15" hidden="false" customHeight="true" outlineLevel="0" collapsed="false">
      <c r="A57" s="1" t="s">
        <v>10</v>
      </c>
      <c r="B57" s="2" t="n">
        <v>490000000</v>
      </c>
    </row>
    <row r="58" customFormat="false" ht="15" hidden="false" customHeight="true" outlineLevel="0" collapsed="false">
      <c r="A58" s="1" t="s">
        <v>111</v>
      </c>
      <c r="B58" s="2" t="n">
        <v>3000000</v>
      </c>
    </row>
    <row r="59" customFormat="false" ht="15" hidden="false" customHeight="true" outlineLevel="0" collapsed="false">
      <c r="A59" s="1" t="s">
        <v>20</v>
      </c>
      <c r="B59" s="2" t="n">
        <v>1102000000</v>
      </c>
    </row>
    <row r="60" customFormat="false" ht="15" hidden="false" customHeight="true" outlineLevel="0" collapsed="false">
      <c r="A60" s="1" t="s">
        <v>52</v>
      </c>
      <c r="B60" s="2" t="n">
        <v>35000000</v>
      </c>
    </row>
    <row r="61" customFormat="false" ht="15" hidden="false" customHeight="true" outlineLevel="0" collapsed="false">
      <c r="A61" s="1" t="s">
        <v>54</v>
      </c>
      <c r="B61" s="2" t="n">
        <v>500000</v>
      </c>
    </row>
    <row r="62" customFormat="false" ht="15" hidden="false" customHeight="true" outlineLevel="0" collapsed="false">
      <c r="A62" s="1" t="s">
        <v>55</v>
      </c>
      <c r="B62" s="2" t="n">
        <v>2000000</v>
      </c>
    </row>
    <row r="63" customFormat="false" ht="15" hidden="false" customHeight="true" outlineLevel="0" collapsed="false">
      <c r="A63" s="1" t="s">
        <v>56</v>
      </c>
      <c r="B63" s="2" t="n">
        <v>19000000</v>
      </c>
    </row>
    <row r="64" customFormat="false" ht="15" hidden="false" customHeight="true" outlineLevel="0" collapsed="false">
      <c r="A64" s="1" t="s">
        <v>58</v>
      </c>
      <c r="B64" s="2" t="n">
        <v>10000000</v>
      </c>
    </row>
    <row r="65" customFormat="false" ht="15" hidden="false" customHeight="true" outlineLevel="0" collapsed="false">
      <c r="A65" s="1" t="s">
        <v>60</v>
      </c>
      <c r="B65" s="2" t="n">
        <v>9000000</v>
      </c>
    </row>
    <row r="66" customFormat="false" ht="15" hidden="false" customHeight="true" outlineLevel="0" collapsed="false">
      <c r="A66" s="1" t="s">
        <v>112</v>
      </c>
      <c r="B66" s="2" t="n">
        <v>20000000</v>
      </c>
    </row>
    <row r="67" customFormat="false" ht="15" hidden="false" customHeight="true" outlineLevel="0" collapsed="false">
      <c r="A67" s="1" t="s">
        <v>61</v>
      </c>
      <c r="B67" s="2" t="n">
        <v>5030000000</v>
      </c>
    </row>
    <row r="68" customFormat="false" ht="15" hidden="false" customHeight="true" outlineLevel="0" collapsed="false">
      <c r="A68" s="1" t="s">
        <v>62</v>
      </c>
      <c r="B68" s="2" t="n">
        <v>1179000000</v>
      </c>
    </row>
    <row r="69" customFormat="false" ht="15" hidden="false" customHeight="true" outlineLevel="0" collapsed="false">
      <c r="A69" s="1" t="s">
        <v>113</v>
      </c>
      <c r="B69" s="2" t="n">
        <v>731000000</v>
      </c>
    </row>
    <row r="70" customFormat="false" ht="15" hidden="false" customHeight="true" outlineLevel="0" collapsed="false">
      <c r="A70" s="1" t="s">
        <v>21</v>
      </c>
      <c r="B70" s="2" t="n">
        <v>47000000</v>
      </c>
    </row>
    <row r="71" customFormat="false" ht="15" hidden="false" customHeight="true" outlineLevel="0" collapsed="false">
      <c r="A71" s="1" t="s">
        <v>80</v>
      </c>
      <c r="B71" s="2" t="n">
        <v>23000000</v>
      </c>
    </row>
    <row r="72" customFormat="false" ht="15" hidden="false" customHeight="true" outlineLevel="0" collapsed="false">
      <c r="A72" s="1" t="s">
        <v>24</v>
      </c>
      <c r="B72" s="2" t="n">
        <v>134000000</v>
      </c>
    </row>
    <row r="73" customFormat="false" ht="15" hidden="false" customHeight="true" outlineLevel="0" collapsed="false">
      <c r="A73" s="1" t="s">
        <v>63</v>
      </c>
      <c r="B73" s="2" t="n">
        <v>14000000</v>
      </c>
    </row>
    <row r="74" customFormat="false" ht="15" hidden="false" customHeight="true" outlineLevel="0" collapsed="false">
      <c r="A74" s="1" t="s">
        <v>25</v>
      </c>
      <c r="B74" s="2" t="n">
        <v>14000000</v>
      </c>
    </row>
    <row r="75" customFormat="false" ht="15" hidden="false" customHeight="true" outlineLevel="0" collapsed="false">
      <c r="A75" s="1" t="s">
        <v>114</v>
      </c>
      <c r="B75" s="2" t="n">
        <v>3435000000</v>
      </c>
    </row>
    <row r="76" customFormat="false" ht="15" hidden="false" customHeight="true" outlineLevel="0" collapsed="false">
      <c r="A76" s="1" t="s">
        <v>115</v>
      </c>
      <c r="B76" s="2" t="n">
        <v>218000000</v>
      </c>
    </row>
    <row r="77" customFormat="false" ht="15" hidden="false" customHeight="true" outlineLevel="0" collapsed="false">
      <c r="A77" s="1" t="s">
        <v>65</v>
      </c>
      <c r="B77" s="2" t="n">
        <v>82000000</v>
      </c>
    </row>
    <row r="78" customFormat="false" ht="15" hidden="false" customHeight="true" outlineLevel="0" collapsed="false">
      <c r="A78" s="1" t="s">
        <v>11</v>
      </c>
      <c r="B78" s="2" t="n">
        <v>14452000000</v>
      </c>
    </row>
    <row r="79" customFormat="false" ht="15" hidden="false" customHeight="true" outlineLevel="0" collapsed="false">
      <c r="A79" s="1" t="s">
        <v>12</v>
      </c>
      <c r="B79" s="2" t="n">
        <v>38886000000</v>
      </c>
    </row>
    <row r="80" customFormat="false" ht="15" hidden="false" customHeight="true" outlineLevel="0" collapsed="false">
      <c r="A80" s="1" t="s">
        <v>66</v>
      </c>
      <c r="B80" s="2" t="n">
        <v>11000000</v>
      </c>
    </row>
    <row r="81" customFormat="false" ht="15" hidden="false" customHeight="true" outlineLevel="0" collapsed="false">
      <c r="A81" s="1" t="s">
        <v>116</v>
      </c>
      <c r="B81" s="2" t="n">
        <v>60000000</v>
      </c>
    </row>
    <row r="82" customFormat="false" ht="15" hidden="false" customHeight="true" outlineLevel="0" collapsed="false">
      <c r="A82" s="1" t="s">
        <v>117</v>
      </c>
      <c r="B82" s="2" t="n">
        <v>1000000</v>
      </c>
    </row>
    <row r="83" customFormat="false" ht="15" hidden="false" customHeight="true" outlineLevel="0" collapsed="false">
      <c r="A83" s="1" t="s">
        <v>27</v>
      </c>
      <c r="B83" s="2" t="n">
        <v>2000000</v>
      </c>
    </row>
    <row r="84" customFormat="false" ht="15" hidden="false" customHeight="true" outlineLevel="0" collapsed="false">
      <c r="A84" s="1" t="s">
        <v>49</v>
      </c>
      <c r="B84" s="2" t="n">
        <v>500000</v>
      </c>
    </row>
    <row r="85" customFormat="false" ht="15" hidden="false" customHeight="true" outlineLevel="0" collapsed="false">
      <c r="A85" s="1" t="s">
        <v>118</v>
      </c>
      <c r="B85" s="2" t="n">
        <v>476000000</v>
      </c>
    </row>
    <row r="86" customFormat="false" ht="15" hidden="false" customHeight="true" outlineLevel="0" collapsed="false">
      <c r="A86" s="1" t="s">
        <v>68</v>
      </c>
      <c r="B86" s="2" t="n">
        <v>20000000</v>
      </c>
    </row>
    <row r="87" customFormat="false" ht="15" hidden="false" customHeight="true" outlineLevel="0" collapsed="false">
      <c r="A87" s="1" t="s">
        <v>119</v>
      </c>
      <c r="B87" s="2" t="n">
        <v>204000000</v>
      </c>
    </row>
    <row r="88" customFormat="false" ht="15" hidden="false" customHeight="true" outlineLevel="0" collapsed="false">
      <c r="A88" s="1" t="s">
        <v>120</v>
      </c>
      <c r="B88" s="2" t="n">
        <v>12000000</v>
      </c>
    </row>
    <row r="89" customFormat="false" ht="15" hidden="false" customHeight="true" outlineLevel="0" collapsed="false">
      <c r="A89" s="1" t="s">
        <v>121</v>
      </c>
      <c r="B89" s="2" t="n">
        <v>363000000</v>
      </c>
    </row>
    <row r="90" customFormat="false" ht="15" hidden="false" customHeight="true" outlineLevel="0" collapsed="false">
      <c r="A90" s="1" t="s">
        <v>70</v>
      </c>
      <c r="B90" s="2" t="n">
        <v>500000</v>
      </c>
    </row>
    <row r="91" customFormat="false" ht="15" hidden="false" customHeight="true" outlineLevel="0" collapsed="false">
      <c r="A91" s="1" t="s">
        <v>22</v>
      </c>
      <c r="B91" s="2" t="n">
        <v>2000000</v>
      </c>
    </row>
    <row r="92" customFormat="false" ht="15" hidden="false" customHeight="true" outlineLevel="0" collapsed="false">
      <c r="A92" s="1" t="s">
        <v>122</v>
      </c>
      <c r="B92" s="2" t="n">
        <v>44000000</v>
      </c>
    </row>
    <row r="93" customFormat="false" ht="15" hidden="false" customHeight="true" outlineLevel="0" collapsed="false">
      <c r="A93" s="1" t="s">
        <v>123</v>
      </c>
      <c r="B93" s="2" t="n">
        <v>51000000</v>
      </c>
    </row>
    <row r="94" customFormat="false" ht="15" hidden="false" customHeight="true" outlineLevel="0" collapsed="false">
      <c r="A94" s="1" t="s">
        <v>124</v>
      </c>
      <c r="B94" s="2" t="n">
        <v>33000000</v>
      </c>
    </row>
    <row r="95" customFormat="false" ht="15" hidden="false" customHeight="true" outlineLevel="0" collapsed="false">
      <c r="A95" s="1" t="s">
        <v>125</v>
      </c>
      <c r="B95" s="2" t="n">
        <v>55000000</v>
      </c>
    </row>
    <row r="96" customFormat="false" ht="15" hidden="false" customHeight="true" outlineLevel="0" collapsed="false">
      <c r="A96" s="1" t="s">
        <v>23</v>
      </c>
      <c r="B96" s="2" t="n">
        <v>44000000</v>
      </c>
    </row>
    <row r="97" customFormat="false" ht="15" hidden="false" customHeight="true" outlineLevel="0" collapsed="false">
      <c r="A97" s="1" t="s">
        <v>126</v>
      </c>
      <c r="B97" s="2" t="n">
        <v>82000000</v>
      </c>
    </row>
    <row r="98" customFormat="false" ht="15" hidden="false" customHeight="true" outlineLevel="0" collapsed="false">
      <c r="A98" s="1" t="s">
        <v>127</v>
      </c>
      <c r="B98" s="2" t="n">
        <v>340000000</v>
      </c>
    </row>
    <row r="99" customFormat="false" ht="15" hidden="false" customHeight="true" outlineLevel="0" collapsed="false">
      <c r="A99" s="1" t="s">
        <v>72</v>
      </c>
      <c r="B99" s="2" t="n">
        <v>54000000</v>
      </c>
    </row>
    <row r="100" customFormat="false" ht="15" hidden="false" customHeight="true" outlineLevel="0" collapsed="false">
      <c r="A100" s="1" t="s">
        <v>128</v>
      </c>
      <c r="B100" s="2" t="n">
        <v>13306000000</v>
      </c>
    </row>
    <row r="101" customFormat="false" ht="15" hidden="false" customHeight="true" outlineLevel="0" collapsed="false">
      <c r="A101" s="1" t="s">
        <v>73</v>
      </c>
      <c r="B101" s="2" t="n">
        <v>507000000</v>
      </c>
    </row>
    <row r="102" customFormat="false" ht="15" hidden="false" customHeight="true" outlineLevel="0" collapsed="false">
      <c r="A102" s="1" t="s">
        <v>13</v>
      </c>
      <c r="B102" s="2" t="n">
        <v>8193000000</v>
      </c>
    </row>
    <row r="103" customFormat="false" ht="15" hidden="false" customHeight="true" outlineLevel="0" collapsed="false">
      <c r="A103" s="1" t="s">
        <v>74</v>
      </c>
      <c r="B103" s="2" t="n">
        <v>81000000</v>
      </c>
    </row>
    <row r="104" customFormat="false" ht="15" hidden="false" customHeight="true" outlineLevel="0" collapsed="false">
      <c r="A104" s="1" t="s">
        <v>75</v>
      </c>
      <c r="B104" s="2" t="n">
        <v>47385000000</v>
      </c>
    </row>
    <row r="105" customFormat="false" ht="15" hidden="false" customHeight="true" outlineLevel="0" collapsed="false">
      <c r="A105" s="1" t="s">
        <v>14</v>
      </c>
      <c r="B105" s="2" t="n">
        <v>599000000</v>
      </c>
    </row>
    <row r="106" customFormat="false" ht="15" hidden="false" customHeight="true" outlineLevel="0" collapsed="false">
      <c r="A106" s="1" t="s">
        <v>129</v>
      </c>
      <c r="B106" s="2" t="n">
        <v>393000000</v>
      </c>
    </row>
    <row r="107" customFormat="false" ht="15" hidden="false" customHeight="true" outlineLevel="0" collapsed="false">
      <c r="A107" s="1" t="s">
        <v>16</v>
      </c>
      <c r="B107" s="2" t="n">
        <v>244053500000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3000</v>
      </c>
    </row>
    <row r="3" customFormat="false" ht="15" hidden="false" customHeight="true" outlineLevel="0" collapsed="false">
      <c r="A3" s="3" t="s">
        <v>30</v>
      </c>
      <c r="B3" s="1" t="n">
        <v>1600</v>
      </c>
    </row>
    <row r="4" customFormat="false" ht="15" hidden="false" customHeight="true" outlineLevel="0" collapsed="false">
      <c r="A4" s="1" t="s">
        <v>2</v>
      </c>
      <c r="B4" s="1" t="n">
        <v>10000</v>
      </c>
    </row>
    <row r="5" customFormat="false" ht="15" hidden="false" customHeight="true" outlineLevel="0" collapsed="false">
      <c r="A5" s="1" t="s">
        <v>3</v>
      </c>
      <c r="B5" s="1" t="n">
        <v>2400</v>
      </c>
    </row>
    <row r="6" customFormat="false" ht="15" hidden="false" customHeight="true" outlineLevel="0" collapsed="false">
      <c r="A6" s="1" t="s">
        <v>18</v>
      </c>
      <c r="B6" s="1" t="n">
        <v>2200</v>
      </c>
    </row>
    <row r="7" customFormat="false" ht="15" hidden="false" customHeight="true" outlineLevel="0" collapsed="false">
      <c r="A7" s="1" t="s">
        <v>4</v>
      </c>
      <c r="B7" s="1" t="n">
        <v>2000</v>
      </c>
    </row>
    <row r="8" customFormat="false" ht="15" hidden="false" customHeight="true" outlineLevel="0" collapsed="false">
      <c r="A8" s="1" t="s">
        <v>101</v>
      </c>
      <c r="B8" s="1" t="n">
        <v>1000</v>
      </c>
    </row>
    <row r="9" customFormat="false" ht="15" hidden="false" customHeight="true" outlineLevel="0" collapsed="false">
      <c r="A9" s="1" t="s">
        <v>7</v>
      </c>
      <c r="B9" s="1" t="n">
        <v>2600</v>
      </c>
    </row>
    <row r="10" customFormat="false" ht="15" hidden="false" customHeight="true" outlineLevel="0" collapsed="false">
      <c r="A10" s="1" t="s">
        <v>9</v>
      </c>
      <c r="B10" s="1" t="n">
        <v>1000</v>
      </c>
    </row>
    <row r="11" customFormat="false" ht="15" hidden="false" customHeight="true" outlineLevel="0" collapsed="false">
      <c r="A11" s="1" t="s">
        <v>130</v>
      </c>
      <c r="B11" s="1" t="n">
        <v>800</v>
      </c>
    </row>
    <row r="12" customFormat="false" ht="15" hidden="false" customHeight="true" outlineLevel="0" collapsed="false">
      <c r="A12" s="1" t="s">
        <v>20</v>
      </c>
      <c r="B12" s="1" t="n">
        <v>1400</v>
      </c>
    </row>
    <row r="13" customFormat="false" ht="15" hidden="false" customHeight="true" outlineLevel="0" collapsed="false">
      <c r="A13" s="1" t="s">
        <v>80</v>
      </c>
      <c r="B13" s="1" t="n">
        <v>1200</v>
      </c>
    </row>
    <row r="14" customFormat="false" ht="15" hidden="false" customHeight="true" outlineLevel="0" collapsed="false">
      <c r="A14" s="1" t="s">
        <v>24</v>
      </c>
      <c r="B14" s="1" t="n">
        <v>2700</v>
      </c>
    </row>
    <row r="15" customFormat="false" ht="15" hidden="false" customHeight="true" outlineLevel="0" collapsed="false">
      <c r="A15" s="1" t="s">
        <v>11</v>
      </c>
      <c r="B15" s="1" t="n">
        <v>7500</v>
      </c>
    </row>
    <row r="16" customFormat="false" ht="15" hidden="false" customHeight="true" outlineLevel="0" collapsed="false">
      <c r="A16" s="1" t="s">
        <v>27</v>
      </c>
      <c r="B16" s="1" t="n">
        <v>2700</v>
      </c>
    </row>
    <row r="17" customFormat="false" ht="15" hidden="false" customHeight="true" outlineLevel="0" collapsed="false">
      <c r="A17" s="1" t="s">
        <v>74</v>
      </c>
      <c r="B17" s="1" t="n">
        <v>1800</v>
      </c>
    </row>
    <row r="18" customFormat="false" ht="15" hidden="false" customHeight="true" outlineLevel="0" collapsed="false">
      <c r="A18" s="1" t="s">
        <v>15</v>
      </c>
      <c r="B18" s="1" t="n">
        <v>9200</v>
      </c>
    </row>
    <row r="19" customFormat="false" ht="15" hidden="false" customHeight="true" outlineLevel="0" collapsed="false">
      <c r="A19" s="1" t="s">
        <v>16</v>
      </c>
      <c r="B19" s="1" t="n">
        <v>53000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4.83"/>
    <col collapsed="false" customWidth="true" hidden="false" outlineLevel="0" max="2" min="2" style="1" width="11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3</v>
      </c>
      <c r="B2" s="1" t="n">
        <v>70000000</v>
      </c>
    </row>
    <row r="3" customFormat="false" ht="15" hidden="false" customHeight="true" outlineLevel="0" collapsed="false">
      <c r="A3" s="1" t="s">
        <v>4</v>
      </c>
      <c r="B3" s="1" t="n">
        <v>73000000</v>
      </c>
    </row>
    <row r="4" customFormat="false" ht="15" hidden="false" customHeight="true" outlineLevel="0" collapsed="false">
      <c r="A4" s="1" t="s">
        <v>6</v>
      </c>
      <c r="B4" s="1" t="n">
        <v>8000000</v>
      </c>
    </row>
    <row r="5" customFormat="false" ht="15" hidden="false" customHeight="true" outlineLevel="0" collapsed="false">
      <c r="A5" s="1" t="s">
        <v>48</v>
      </c>
      <c r="B5" s="1" t="n">
        <v>2000000</v>
      </c>
    </row>
    <row r="6" customFormat="false" ht="15" hidden="false" customHeight="true" outlineLevel="0" collapsed="false">
      <c r="A6" s="1" t="s">
        <v>79</v>
      </c>
      <c r="B6" s="1" t="n">
        <v>26000000</v>
      </c>
    </row>
    <row r="7" customFormat="false" ht="15" hidden="false" customHeight="true" outlineLevel="0" collapsed="false">
      <c r="A7" s="1" t="s">
        <v>20</v>
      </c>
      <c r="B7" s="1" t="n">
        <v>3100000</v>
      </c>
    </row>
    <row r="8" customFormat="false" ht="15" hidden="false" customHeight="true" outlineLevel="0" collapsed="false">
      <c r="A8" s="1" t="s">
        <v>55</v>
      </c>
      <c r="B8" s="1" t="n">
        <v>25000000</v>
      </c>
    </row>
    <row r="9" customFormat="false" ht="15" hidden="false" customHeight="true" outlineLevel="0" collapsed="false">
      <c r="A9" s="1" t="s">
        <v>62</v>
      </c>
      <c r="B9" s="1" t="n">
        <v>600000</v>
      </c>
    </row>
    <row r="10" customFormat="false" ht="15" hidden="false" customHeight="true" outlineLevel="0" collapsed="false">
      <c r="A10" s="1" t="s">
        <v>131</v>
      </c>
      <c r="B10" s="1" t="n">
        <v>1500000</v>
      </c>
    </row>
    <row r="11" customFormat="false" ht="15" hidden="false" customHeight="true" outlineLevel="0" collapsed="false">
      <c r="A11" s="1" t="s">
        <v>71</v>
      </c>
      <c r="B11" s="1" t="n">
        <v>17000000</v>
      </c>
    </row>
    <row r="12" customFormat="false" ht="15" hidden="false" customHeight="true" outlineLevel="0" collapsed="false">
      <c r="A12" s="1" t="s">
        <v>23</v>
      </c>
      <c r="B12" s="1" t="n">
        <v>90000000</v>
      </c>
    </row>
    <row r="13" customFormat="false" ht="15" hidden="false" customHeight="true" outlineLevel="0" collapsed="false">
      <c r="A13" s="1" t="s">
        <v>74</v>
      </c>
      <c r="B13" s="1" t="n">
        <v>7600000</v>
      </c>
    </row>
    <row r="14" customFormat="false" ht="15" hidden="false" customHeight="true" outlineLevel="0" collapsed="false">
      <c r="A14" s="1" t="s">
        <v>16</v>
      </c>
      <c r="B14" s="1" t="n">
        <v>320000000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" activeCellId="0" sqref="B1"/>
    </sheetView>
  </sheetViews>
  <sheetFormatPr defaultColWidth="10.542968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450</v>
      </c>
    </row>
    <row r="3" customFormat="false" ht="15" hidden="false" customHeight="true" outlineLevel="0" collapsed="false">
      <c r="A3" s="1" t="s">
        <v>18</v>
      </c>
      <c r="B3" s="1" t="n">
        <v>560</v>
      </c>
    </row>
    <row r="4" customFormat="false" ht="15" hidden="false" customHeight="true" outlineLevel="0" collapsed="false">
      <c r="A4" s="1" t="s">
        <v>4</v>
      </c>
      <c r="B4" s="1" t="n">
        <v>10000</v>
      </c>
    </row>
    <row r="5" customFormat="false" ht="15" hidden="false" customHeight="true" outlineLevel="0" collapsed="false">
      <c r="A5" s="1" t="s">
        <v>24</v>
      </c>
      <c r="B5" s="1" t="n">
        <v>580</v>
      </c>
    </row>
    <row r="6" customFormat="false" ht="15" hidden="false" customHeight="true" outlineLevel="0" collapsed="false">
      <c r="A6" s="1" t="s">
        <v>11</v>
      </c>
      <c r="B6" s="1" t="n">
        <v>250</v>
      </c>
    </row>
    <row r="7" customFormat="false" ht="15" hidden="false" customHeight="true" outlineLevel="0" collapsed="false">
      <c r="A7" s="1" t="s">
        <v>16</v>
      </c>
      <c r="B7" s="1" t="n">
        <f aca="false">SUM(B2:B6)</f>
        <v>11840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83"/>
    <col collapsed="false" customWidth="true" hidden="false" outlineLevel="0" max="2" min="2" style="1" width="12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3000000</v>
      </c>
    </row>
    <row r="3" customFormat="false" ht="15" hidden="false" customHeight="true" outlineLevel="0" collapsed="false">
      <c r="A3" s="1" t="s">
        <v>2</v>
      </c>
      <c r="B3" s="1" t="n">
        <v>50000000</v>
      </c>
    </row>
    <row r="4" customFormat="false" ht="15" hidden="false" customHeight="true" outlineLevel="0" collapsed="false">
      <c r="A4" s="1" t="s">
        <v>3</v>
      </c>
      <c r="B4" s="1" t="n">
        <v>34000000</v>
      </c>
    </row>
    <row r="5" customFormat="false" ht="15" hidden="false" customHeight="true" outlineLevel="0" collapsed="false">
      <c r="A5" s="1" t="s">
        <v>18</v>
      </c>
      <c r="B5" s="1" t="n">
        <v>6000000</v>
      </c>
    </row>
    <row r="6" customFormat="false" ht="15" hidden="false" customHeight="true" outlineLevel="0" collapsed="false">
      <c r="A6" s="1" t="s">
        <v>4</v>
      </c>
      <c r="B6" s="1" t="n">
        <v>20000000</v>
      </c>
    </row>
    <row r="7" customFormat="false" ht="15" hidden="false" customHeight="true" outlineLevel="0" collapsed="false">
      <c r="A7" s="1" t="s">
        <v>6</v>
      </c>
      <c r="B7" s="1" t="n">
        <v>5500000</v>
      </c>
    </row>
    <row r="8" customFormat="false" ht="15" hidden="false" customHeight="true" outlineLevel="0" collapsed="false">
      <c r="A8" s="1" t="s">
        <v>44</v>
      </c>
      <c r="B8" s="1" t="n">
        <v>2700000</v>
      </c>
    </row>
    <row r="9" customFormat="false" ht="15" hidden="false" customHeight="true" outlineLevel="0" collapsed="false">
      <c r="A9" s="1" t="s">
        <v>9</v>
      </c>
      <c r="B9" s="1" t="n">
        <v>2500000</v>
      </c>
    </row>
    <row r="10" customFormat="false" ht="15" hidden="false" customHeight="true" outlineLevel="0" collapsed="false">
      <c r="A10" s="1" t="s">
        <v>11</v>
      </c>
      <c r="B10" s="1" t="n">
        <v>25000000</v>
      </c>
    </row>
    <row r="11" customFormat="false" ht="15" hidden="false" customHeight="true" outlineLevel="0" collapsed="false">
      <c r="A11" s="1" t="s">
        <v>27</v>
      </c>
      <c r="B11" s="1" t="n">
        <v>1000000</v>
      </c>
    </row>
    <row r="12" customFormat="false" ht="15" hidden="false" customHeight="true" outlineLevel="0" collapsed="false">
      <c r="A12" s="1" t="s">
        <v>69</v>
      </c>
      <c r="B12" s="1" t="n">
        <v>1300000</v>
      </c>
    </row>
    <row r="13" customFormat="false" ht="15" hidden="false" customHeight="true" outlineLevel="0" collapsed="false">
      <c r="A13" s="1" t="s">
        <v>72</v>
      </c>
      <c r="B13" s="1" t="n">
        <v>6500000</v>
      </c>
    </row>
    <row r="14" customFormat="false" ht="15" hidden="false" customHeight="true" outlineLevel="0" collapsed="false">
      <c r="A14" s="1" t="s">
        <v>15</v>
      </c>
      <c r="B14" s="1" t="n">
        <v>18000000</v>
      </c>
    </row>
    <row r="15" customFormat="false" ht="15" hidden="false" customHeight="true" outlineLevel="0" collapsed="false">
      <c r="A15" s="1" t="s">
        <v>16</v>
      </c>
      <c r="B15" s="1" t="n">
        <v>180000000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5000000</v>
      </c>
    </row>
    <row r="3" customFormat="false" ht="15" hidden="false" customHeight="true" outlineLevel="0" collapsed="false">
      <c r="A3" s="1" t="s">
        <v>2</v>
      </c>
      <c r="B3" s="1" t="n">
        <v>36000000</v>
      </c>
    </row>
    <row r="4" customFormat="false" ht="15" hidden="false" customHeight="true" outlineLevel="0" collapsed="false">
      <c r="A4" s="1" t="s">
        <v>17</v>
      </c>
      <c r="B4" s="1" t="n">
        <v>1600000</v>
      </c>
    </row>
    <row r="5" customFormat="false" ht="15" hidden="false" customHeight="true" outlineLevel="0" collapsed="false">
      <c r="A5" s="1" t="s">
        <v>4</v>
      </c>
      <c r="B5" s="1" t="n">
        <v>18000000</v>
      </c>
    </row>
    <row r="6" customFormat="false" ht="15" hidden="false" customHeight="true" outlineLevel="0" collapsed="false">
      <c r="A6" s="1" t="s">
        <v>6</v>
      </c>
      <c r="B6" s="1" t="n">
        <v>2500000</v>
      </c>
    </row>
    <row r="7" customFormat="false" ht="15" hidden="false" customHeight="true" outlineLevel="0" collapsed="false">
      <c r="A7" s="3" t="s">
        <v>9</v>
      </c>
      <c r="B7" s="1" t="n">
        <v>2000000</v>
      </c>
    </row>
    <row r="8" customFormat="false" ht="15" hidden="false" customHeight="true" outlineLevel="0" collapsed="false">
      <c r="A8" s="1" t="s">
        <v>20</v>
      </c>
      <c r="B8" s="1" t="n">
        <v>5600000</v>
      </c>
    </row>
    <row r="9" customFormat="false" ht="15" hidden="false" customHeight="true" outlineLevel="0" collapsed="false">
      <c r="A9" s="1" t="s">
        <v>24</v>
      </c>
      <c r="B9" s="1" t="n">
        <v>6000000</v>
      </c>
    </row>
    <row r="10" customFormat="false" ht="15" hidden="false" customHeight="true" outlineLevel="0" collapsed="false">
      <c r="A10" s="1" t="s">
        <v>11</v>
      </c>
      <c r="B10" s="1" t="n">
        <v>4000000</v>
      </c>
    </row>
    <row r="11" customFormat="false" ht="15" hidden="false" customHeight="true" outlineLevel="0" collapsed="false">
      <c r="A11" s="1" t="s">
        <v>69</v>
      </c>
      <c r="B11" s="1" t="n">
        <v>1100000</v>
      </c>
    </row>
    <row r="12" customFormat="false" ht="15" hidden="false" customHeight="true" outlineLevel="0" collapsed="false">
      <c r="A12" s="1" t="s">
        <v>23</v>
      </c>
      <c r="B12" s="1" t="n">
        <v>860000</v>
      </c>
    </row>
    <row r="13" customFormat="false" ht="15" hidden="false" customHeight="true" outlineLevel="0" collapsed="false">
      <c r="A13" s="1" t="s">
        <v>15</v>
      </c>
      <c r="B13" s="1" t="n">
        <v>5000000</v>
      </c>
    </row>
    <row r="14" customFormat="false" ht="15" hidden="false" customHeight="true" outlineLevel="0" collapsed="false">
      <c r="A14" s="1" t="s">
        <v>16</v>
      </c>
      <c r="B14" s="1" t="n">
        <v>88000000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7.17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" t="s">
        <v>0</v>
      </c>
      <c r="B1" s="5" t="s">
        <v>1</v>
      </c>
    </row>
    <row r="2" customFormat="false" ht="15" hidden="false" customHeight="true" outlineLevel="0" collapsed="false">
      <c r="A2" s="1" t="s">
        <v>82</v>
      </c>
      <c r="B2" s="2" t="n">
        <v>522000000</v>
      </c>
    </row>
    <row r="3" customFormat="false" ht="15" hidden="false" customHeight="true" outlineLevel="0" collapsed="false">
      <c r="A3" s="1" t="s">
        <v>2</v>
      </c>
      <c r="B3" s="2" t="n">
        <v>76508000000</v>
      </c>
    </row>
    <row r="4" customFormat="false" ht="15" hidden="false" customHeight="true" outlineLevel="0" collapsed="false">
      <c r="A4" s="1" t="s">
        <v>132</v>
      </c>
      <c r="B4" s="2" t="n">
        <v>2264000000</v>
      </c>
    </row>
    <row r="5" customFormat="false" ht="15" hidden="false" customHeight="true" outlineLevel="0" collapsed="false">
      <c r="A5" s="1" t="s">
        <v>3</v>
      </c>
      <c r="B5" s="2" t="n">
        <v>5049000000</v>
      </c>
    </row>
    <row r="6" customFormat="false" ht="15" hidden="false" customHeight="true" outlineLevel="0" collapsed="false">
      <c r="A6" s="1" t="s">
        <v>34</v>
      </c>
      <c r="B6" s="2" t="n">
        <v>2174000000</v>
      </c>
    </row>
    <row r="7" customFormat="false" ht="15" hidden="false" customHeight="true" outlineLevel="0" collapsed="false">
      <c r="A7" s="1" t="s">
        <v>18</v>
      </c>
      <c r="B7" s="2" t="n">
        <v>2236000000</v>
      </c>
    </row>
    <row r="8" customFormat="false" ht="15" hidden="false" customHeight="true" outlineLevel="0" collapsed="false">
      <c r="A8" s="1" t="s">
        <v>133</v>
      </c>
      <c r="B8" s="2" t="n">
        <v>3000000</v>
      </c>
    </row>
    <row r="9" customFormat="false" ht="15" hidden="false" customHeight="true" outlineLevel="0" collapsed="false">
      <c r="A9" s="1" t="s">
        <v>4</v>
      </c>
      <c r="B9" s="2" t="n">
        <v>8128000000</v>
      </c>
    </row>
    <row r="10" customFormat="false" ht="15" hidden="false" customHeight="true" outlineLevel="0" collapsed="false">
      <c r="A10" s="1" t="s">
        <v>38</v>
      </c>
      <c r="B10" s="2" t="n">
        <v>2514000000</v>
      </c>
    </row>
    <row r="11" customFormat="false" ht="15" hidden="false" customHeight="true" outlineLevel="0" collapsed="false">
      <c r="A11" s="1" t="s">
        <v>96</v>
      </c>
      <c r="B11" s="2" t="n">
        <v>24000000</v>
      </c>
    </row>
    <row r="12" customFormat="false" ht="15" hidden="false" customHeight="true" outlineLevel="0" collapsed="false">
      <c r="A12" s="1" t="s">
        <v>81</v>
      </c>
      <c r="B12" s="2" t="n">
        <v>35900000000</v>
      </c>
    </row>
    <row r="13" customFormat="false" ht="15" hidden="false" customHeight="true" outlineLevel="0" collapsed="false">
      <c r="A13" s="1" t="s">
        <v>102</v>
      </c>
      <c r="B13" s="2" t="n">
        <v>2876000000</v>
      </c>
    </row>
    <row r="14" customFormat="false" ht="15" hidden="false" customHeight="true" outlineLevel="0" collapsed="false">
      <c r="A14" s="1" t="s">
        <v>43</v>
      </c>
      <c r="B14" s="2" t="n">
        <v>2633000000</v>
      </c>
    </row>
    <row r="15" customFormat="false" ht="15" hidden="false" customHeight="true" outlineLevel="0" collapsed="false">
      <c r="A15" s="1" t="s">
        <v>6</v>
      </c>
      <c r="B15" s="2" t="n">
        <v>5073000000</v>
      </c>
    </row>
    <row r="16" customFormat="false" ht="15" hidden="false" customHeight="true" outlineLevel="0" collapsed="false">
      <c r="A16" s="1" t="s">
        <v>7</v>
      </c>
      <c r="B16" s="2" t="n">
        <v>11728000000</v>
      </c>
    </row>
    <row r="17" customFormat="false" ht="15" hidden="false" customHeight="true" outlineLevel="0" collapsed="false">
      <c r="A17" s="1" t="s">
        <v>46</v>
      </c>
      <c r="B17" s="2" t="n">
        <v>7000000</v>
      </c>
    </row>
    <row r="18" customFormat="false" ht="15" hidden="false" customHeight="true" outlineLevel="0" collapsed="false">
      <c r="A18" s="1" t="s">
        <v>47</v>
      </c>
      <c r="B18" s="2" t="n">
        <v>10000000</v>
      </c>
    </row>
    <row r="19" customFormat="false" ht="15" hidden="false" customHeight="true" outlineLevel="0" collapsed="false">
      <c r="A19" s="1" t="s">
        <v>134</v>
      </c>
      <c r="B19" s="2" t="n">
        <v>1564000000</v>
      </c>
    </row>
    <row r="20" customFormat="false" ht="15" hidden="false" customHeight="true" outlineLevel="0" collapsed="false">
      <c r="A20" s="1" t="s">
        <v>50</v>
      </c>
      <c r="B20" s="2" t="n">
        <v>499000000</v>
      </c>
    </row>
    <row r="21" customFormat="false" ht="15" hidden="false" customHeight="true" outlineLevel="0" collapsed="false">
      <c r="A21" s="1" t="s">
        <v>135</v>
      </c>
      <c r="B21" s="2" t="n">
        <v>332000000</v>
      </c>
    </row>
    <row r="22" customFormat="false" ht="15" hidden="false" customHeight="true" outlineLevel="0" collapsed="false">
      <c r="A22" s="1" t="s">
        <v>10</v>
      </c>
      <c r="B22" s="2" t="n">
        <v>78000000</v>
      </c>
    </row>
    <row r="23" customFormat="false" ht="15" hidden="false" customHeight="true" outlineLevel="0" collapsed="false">
      <c r="A23" s="1" t="s">
        <v>20</v>
      </c>
      <c r="B23" s="2" t="n">
        <v>51000000</v>
      </c>
    </row>
    <row r="24" customFormat="false" ht="15" hidden="false" customHeight="true" outlineLevel="0" collapsed="false">
      <c r="A24" s="1" t="s">
        <v>52</v>
      </c>
      <c r="B24" s="2" t="n">
        <v>1350000000</v>
      </c>
    </row>
    <row r="25" customFormat="false" ht="15" hidden="false" customHeight="true" outlineLevel="0" collapsed="false">
      <c r="A25" s="1" t="s">
        <v>56</v>
      </c>
      <c r="B25" s="2" t="n">
        <v>3000000</v>
      </c>
    </row>
    <row r="26" customFormat="false" ht="15" hidden="false" customHeight="true" outlineLevel="0" collapsed="false">
      <c r="A26" s="1" t="s">
        <v>60</v>
      </c>
      <c r="B26" s="2" t="n">
        <v>6750000000</v>
      </c>
    </row>
    <row r="27" customFormat="false" ht="15" hidden="false" customHeight="true" outlineLevel="0" collapsed="false">
      <c r="A27" s="1" t="s">
        <v>112</v>
      </c>
      <c r="B27" s="2" t="n">
        <v>6000000</v>
      </c>
    </row>
    <row r="28" customFormat="false" ht="15" hidden="false" customHeight="true" outlineLevel="0" collapsed="false">
      <c r="A28" s="1" t="s">
        <v>61</v>
      </c>
      <c r="B28" s="2" t="n">
        <v>57000000</v>
      </c>
    </row>
    <row r="29" customFormat="false" ht="15" hidden="false" customHeight="true" outlineLevel="0" collapsed="false">
      <c r="A29" s="1" t="s">
        <v>21</v>
      </c>
      <c r="B29" s="2" t="n">
        <v>2857000000</v>
      </c>
    </row>
    <row r="30" customFormat="false" ht="15" hidden="false" customHeight="true" outlineLevel="0" collapsed="false">
      <c r="A30" s="1" t="s">
        <v>63</v>
      </c>
      <c r="B30" s="2" t="n">
        <v>146000000</v>
      </c>
    </row>
    <row r="31" customFormat="false" ht="15" hidden="false" customHeight="true" outlineLevel="0" collapsed="false">
      <c r="A31" s="1" t="s">
        <v>25</v>
      </c>
      <c r="B31" s="2" t="n">
        <v>5865000000</v>
      </c>
    </row>
    <row r="32" customFormat="false" ht="15" hidden="false" customHeight="true" outlineLevel="0" collapsed="false">
      <c r="A32" s="1" t="s">
        <v>64</v>
      </c>
      <c r="B32" s="2" t="n">
        <v>33000000</v>
      </c>
    </row>
    <row r="33" customFormat="false" ht="15" hidden="false" customHeight="true" outlineLevel="0" collapsed="false">
      <c r="A33" s="1" t="s">
        <v>65</v>
      </c>
      <c r="B33" s="2" t="n">
        <v>280000000</v>
      </c>
    </row>
    <row r="34" customFormat="false" ht="15" hidden="false" customHeight="true" outlineLevel="0" collapsed="false">
      <c r="A34" s="1" t="s">
        <v>11</v>
      </c>
      <c r="B34" s="2" t="n">
        <v>90447000000</v>
      </c>
    </row>
    <row r="35" customFormat="false" ht="15" hidden="false" customHeight="true" outlineLevel="0" collapsed="false">
      <c r="A35" s="1" t="s">
        <v>66</v>
      </c>
      <c r="B35" s="2" t="n">
        <v>7112000000</v>
      </c>
    </row>
    <row r="36" customFormat="false" ht="15" hidden="false" customHeight="true" outlineLevel="0" collapsed="false">
      <c r="A36" s="1" t="s">
        <v>117</v>
      </c>
      <c r="B36" s="2" t="n">
        <v>135000000</v>
      </c>
    </row>
    <row r="37" customFormat="false" ht="15" hidden="false" customHeight="true" outlineLevel="0" collapsed="false">
      <c r="A37" s="1" t="s">
        <v>67</v>
      </c>
      <c r="B37" s="2" t="n">
        <v>315000000</v>
      </c>
    </row>
    <row r="38" customFormat="false" ht="15" hidden="false" customHeight="true" outlineLevel="0" collapsed="false">
      <c r="A38" s="1" t="s">
        <v>68</v>
      </c>
      <c r="B38" s="2" t="n">
        <v>319000000</v>
      </c>
    </row>
    <row r="39" customFormat="false" ht="15" hidden="false" customHeight="true" outlineLevel="0" collapsed="false">
      <c r="A39" s="1" t="s">
        <v>122</v>
      </c>
      <c r="B39" s="2" t="n">
        <v>1063000000</v>
      </c>
    </row>
    <row r="40" customFormat="false" ht="15" hidden="false" customHeight="true" outlineLevel="0" collapsed="false">
      <c r="A40" s="1" t="s">
        <v>23</v>
      </c>
      <c r="B40" s="2" t="n">
        <v>10975000000</v>
      </c>
    </row>
    <row r="41" customFormat="false" ht="15" hidden="false" customHeight="true" outlineLevel="0" collapsed="false">
      <c r="A41" s="1" t="s">
        <v>13</v>
      </c>
      <c r="B41" s="2" t="n">
        <v>30003000000</v>
      </c>
    </row>
    <row r="42" customFormat="false" ht="15" hidden="false" customHeight="true" outlineLevel="0" collapsed="false">
      <c r="A42" s="1" t="s">
        <v>72</v>
      </c>
      <c r="B42" s="2" t="n">
        <v>2336000000</v>
      </c>
    </row>
    <row r="43" customFormat="false" ht="15" hidden="false" customHeight="true" outlineLevel="0" collapsed="false">
      <c r="A43" s="1" t="s">
        <v>14</v>
      </c>
      <c r="B43" s="2" t="n">
        <v>244000000</v>
      </c>
    </row>
    <row r="44" customFormat="false" ht="15" hidden="false" customHeight="true" outlineLevel="0" collapsed="false">
      <c r="A44" s="1" t="s">
        <v>16</v>
      </c>
      <c r="B44" s="2" t="n">
        <v>320468000000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750000</v>
      </c>
    </row>
    <row r="3" customFormat="false" ht="15" hidden="false" customHeight="true" outlineLevel="0" collapsed="false">
      <c r="A3" s="1" t="s">
        <v>30</v>
      </c>
      <c r="B3" s="1" t="n">
        <v>1900000</v>
      </c>
    </row>
    <row r="4" customFormat="false" ht="15" hidden="false" customHeight="true" outlineLevel="0" collapsed="false">
      <c r="A4" s="1" t="s">
        <v>2</v>
      </c>
      <c r="B4" s="1" t="n">
        <v>4700000</v>
      </c>
    </row>
    <row r="5" customFormat="false" ht="15" hidden="false" customHeight="true" outlineLevel="0" collapsed="false">
      <c r="A5" s="1" t="s">
        <v>3</v>
      </c>
      <c r="B5" s="1" t="n">
        <v>95000</v>
      </c>
    </row>
    <row r="6" customFormat="false" ht="15" hidden="false" customHeight="true" outlineLevel="0" collapsed="false">
      <c r="A6" s="3" t="s">
        <v>18</v>
      </c>
      <c r="B6" s="3" t="n">
        <v>530000</v>
      </c>
    </row>
    <row r="7" customFormat="false" ht="15" hidden="false" customHeight="true" outlineLevel="0" collapsed="false">
      <c r="A7" s="1" t="s">
        <v>35</v>
      </c>
      <c r="B7" s="3" t="n">
        <v>9200000</v>
      </c>
    </row>
    <row r="8" customFormat="false" ht="15" hidden="false" customHeight="true" outlineLevel="0" collapsed="false">
      <c r="A8" s="1" t="s">
        <v>4</v>
      </c>
      <c r="B8" s="3" t="n">
        <v>1500000</v>
      </c>
    </row>
    <row r="9" customFormat="false" ht="15" hidden="false" customHeight="true" outlineLevel="0" collapsed="false">
      <c r="A9" s="1" t="s">
        <v>64</v>
      </c>
      <c r="B9" s="3" t="n">
        <v>60000</v>
      </c>
    </row>
    <row r="10" customFormat="false" ht="15" hidden="false" customHeight="true" outlineLevel="0" collapsed="false">
      <c r="A10" s="1" t="s">
        <v>77</v>
      </c>
      <c r="B10" s="3" t="n">
        <v>220000</v>
      </c>
    </row>
    <row r="11" customFormat="false" ht="15" hidden="false" customHeight="true" outlineLevel="0" collapsed="false">
      <c r="A11" s="3" t="s">
        <v>15</v>
      </c>
      <c r="B11" s="3" t="n">
        <v>2100000</v>
      </c>
    </row>
    <row r="12" customFormat="false" ht="15" hidden="false" customHeight="true" outlineLevel="0" collapsed="false">
      <c r="A12" s="1" t="s">
        <v>16</v>
      </c>
      <c r="B12" s="1" t="n">
        <v>21000000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2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35000000</v>
      </c>
    </row>
    <row r="3" customFormat="false" ht="15" hidden="false" customHeight="true" outlineLevel="0" collapsed="false">
      <c r="A3" s="1" t="s">
        <v>2</v>
      </c>
      <c r="B3" s="1" t="n">
        <v>320000000</v>
      </c>
    </row>
    <row r="4" customFormat="false" ht="15" hidden="false" customHeight="true" outlineLevel="0" collapsed="false">
      <c r="A4" s="1" t="s">
        <v>84</v>
      </c>
      <c r="B4" s="1" t="n">
        <v>49000000</v>
      </c>
    </row>
    <row r="5" customFormat="false" ht="15" hidden="false" customHeight="true" outlineLevel="0" collapsed="false">
      <c r="A5" s="1" t="s">
        <v>3</v>
      </c>
      <c r="B5" s="1" t="n">
        <v>200000000</v>
      </c>
    </row>
    <row r="6" customFormat="false" ht="15" hidden="false" customHeight="true" outlineLevel="0" collapsed="false">
      <c r="A6" s="1" t="s">
        <v>4</v>
      </c>
      <c r="B6" s="1" t="n">
        <v>1000000000</v>
      </c>
    </row>
    <row r="7" customFormat="false" ht="15" hidden="false" customHeight="true" outlineLevel="0" collapsed="false">
      <c r="A7" s="1" t="s">
        <v>102</v>
      </c>
      <c r="B7" s="1" t="n">
        <v>280000000</v>
      </c>
    </row>
    <row r="8" customFormat="false" ht="15" hidden="false" customHeight="true" outlineLevel="0" collapsed="false">
      <c r="A8" s="1" t="s">
        <v>6</v>
      </c>
      <c r="B8" s="1" t="n">
        <v>82000000</v>
      </c>
    </row>
    <row r="9" customFormat="false" ht="15" hidden="false" customHeight="true" outlineLevel="0" collapsed="false">
      <c r="A9" s="1" t="s">
        <v>11</v>
      </c>
      <c r="B9" s="1" t="n">
        <v>2300000000</v>
      </c>
    </row>
    <row r="10" customFormat="false" ht="15" hidden="false" customHeight="true" outlineLevel="0" collapsed="false">
      <c r="A10" s="1" t="s">
        <v>117</v>
      </c>
      <c r="B10" s="1" t="n">
        <v>370000000</v>
      </c>
    </row>
    <row r="11" customFormat="false" ht="15" hidden="false" customHeight="true" outlineLevel="0" collapsed="false">
      <c r="A11" s="1" t="s">
        <v>68</v>
      </c>
      <c r="B11" s="1" t="n">
        <v>35000000</v>
      </c>
    </row>
    <row r="12" customFormat="false" ht="15" hidden="false" customHeight="true" outlineLevel="0" collapsed="false">
      <c r="A12" s="1" t="s">
        <v>23</v>
      </c>
      <c r="B12" s="1" t="n">
        <v>205000000</v>
      </c>
    </row>
    <row r="13" customFormat="false" ht="15" hidden="false" customHeight="true" outlineLevel="0" collapsed="false">
      <c r="A13" s="1" t="s">
        <v>15</v>
      </c>
      <c r="B13" s="1" t="n">
        <v>2700000000</v>
      </c>
    </row>
    <row r="14" customFormat="false" ht="15" hidden="false" customHeight="true" outlineLevel="0" collapsed="false">
      <c r="A14" s="1" t="s">
        <v>16</v>
      </c>
      <c r="B14" s="1" t="n">
        <v>7600000000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1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v>230000000</v>
      </c>
    </row>
    <row r="3" customFormat="false" ht="15" hidden="false" customHeight="true" outlineLevel="0" collapsed="false">
      <c r="A3" s="1" t="s">
        <v>3</v>
      </c>
      <c r="B3" s="1" t="n">
        <v>270000000</v>
      </c>
    </row>
    <row r="4" customFormat="false" ht="15" hidden="false" customHeight="true" outlineLevel="0" collapsed="false">
      <c r="A4" s="1" t="s">
        <v>4</v>
      </c>
      <c r="B4" s="1" t="n">
        <v>54000000</v>
      </c>
    </row>
    <row r="5" customFormat="false" ht="15" hidden="false" customHeight="true" outlineLevel="0" collapsed="false">
      <c r="A5" s="1" t="s">
        <v>100</v>
      </c>
      <c r="B5" s="1" t="n">
        <v>61000000</v>
      </c>
    </row>
    <row r="6" customFormat="false" ht="15" hidden="false" customHeight="true" outlineLevel="0" collapsed="false">
      <c r="A6" s="1" t="s">
        <v>101</v>
      </c>
      <c r="B6" s="1" t="n">
        <v>13000000</v>
      </c>
    </row>
    <row r="7" customFormat="false" ht="15" hidden="false" customHeight="true" outlineLevel="0" collapsed="false">
      <c r="A7" s="1" t="s">
        <v>6</v>
      </c>
      <c r="B7" s="1" t="n">
        <v>34000000</v>
      </c>
    </row>
    <row r="8" customFormat="false" ht="15" hidden="false" customHeight="true" outlineLevel="0" collapsed="false">
      <c r="A8" s="1" t="s">
        <v>9</v>
      </c>
      <c r="B8" s="1" t="n">
        <v>5000000</v>
      </c>
    </row>
    <row r="9" customFormat="false" ht="15" hidden="false" customHeight="true" outlineLevel="0" collapsed="false">
      <c r="A9" s="1" t="s">
        <v>20</v>
      </c>
      <c r="B9" s="1" t="n">
        <v>5000000</v>
      </c>
    </row>
    <row r="10" customFormat="false" ht="15" hidden="false" customHeight="true" outlineLevel="0" collapsed="false">
      <c r="A10" s="1" t="s">
        <v>27</v>
      </c>
      <c r="B10" s="1" t="n">
        <v>520000000</v>
      </c>
    </row>
    <row r="11" customFormat="false" ht="15" hidden="false" customHeight="true" outlineLevel="0" collapsed="false">
      <c r="A11" s="1" t="s">
        <v>72</v>
      </c>
      <c r="B11" s="1" t="n">
        <v>140000000</v>
      </c>
    </row>
    <row r="12" customFormat="false" ht="15" hidden="false" customHeight="true" outlineLevel="0" collapsed="false">
      <c r="A12" s="1" t="s">
        <v>16</v>
      </c>
      <c r="B12" s="1" t="n">
        <v>1300000000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3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2700000</v>
      </c>
    </row>
    <row r="3" customFormat="false" ht="15" hidden="false" customHeight="true" outlineLevel="0" collapsed="false">
      <c r="A3" s="1" t="s">
        <v>30</v>
      </c>
      <c r="B3" s="1" t="n">
        <v>100000</v>
      </c>
    </row>
    <row r="4" customFormat="false" ht="15" hidden="false" customHeight="true" outlineLevel="0" collapsed="false">
      <c r="A4" s="1" t="s">
        <v>31</v>
      </c>
      <c r="B4" s="1" t="n">
        <v>150000</v>
      </c>
    </row>
    <row r="5" customFormat="false" ht="15" hidden="false" customHeight="true" outlineLevel="0" collapsed="false">
      <c r="A5" s="1" t="s">
        <v>18</v>
      </c>
      <c r="B5" s="1" t="n">
        <v>96000</v>
      </c>
    </row>
    <row r="6" customFormat="false" ht="15" hidden="false" customHeight="true" outlineLevel="0" collapsed="false">
      <c r="A6" s="1" t="s">
        <v>35</v>
      </c>
      <c r="B6" s="1" t="n">
        <v>1400000</v>
      </c>
    </row>
    <row r="7" customFormat="false" ht="15" hidden="false" customHeight="true" outlineLevel="0" collapsed="false">
      <c r="A7" s="1" t="s">
        <v>4</v>
      </c>
      <c r="B7" s="1" t="n">
        <v>8300000</v>
      </c>
    </row>
    <row r="8" customFormat="false" ht="15" hidden="false" customHeight="true" outlineLevel="0" collapsed="false">
      <c r="A8" s="1" t="s">
        <v>44</v>
      </c>
      <c r="B8" s="1" t="n">
        <v>43000</v>
      </c>
    </row>
    <row r="9" customFormat="false" ht="15" hidden="false" customHeight="true" outlineLevel="0" collapsed="false">
      <c r="A9" s="1" t="s">
        <v>20</v>
      </c>
      <c r="B9" s="1" t="n">
        <v>130000</v>
      </c>
    </row>
    <row r="10" customFormat="false" ht="15" hidden="false" customHeight="true" outlineLevel="0" collapsed="false">
      <c r="A10" s="1" t="s">
        <v>52</v>
      </c>
      <c r="B10" s="1" t="n">
        <v>370000</v>
      </c>
    </row>
    <row r="11" customFormat="false" ht="15" hidden="false" customHeight="true" outlineLevel="0" collapsed="false">
      <c r="A11" s="1" t="s">
        <v>24</v>
      </c>
      <c r="B11" s="1" t="n">
        <v>2800000</v>
      </c>
    </row>
    <row r="12" customFormat="false" ht="15" hidden="false" customHeight="true" outlineLevel="0" collapsed="false">
      <c r="A12" s="1" t="s">
        <v>11</v>
      </c>
      <c r="B12" s="1" t="n">
        <v>1000000</v>
      </c>
    </row>
    <row r="13" customFormat="false" ht="15" hidden="false" customHeight="true" outlineLevel="0" collapsed="false">
      <c r="A13" s="1" t="s">
        <v>23</v>
      </c>
      <c r="B13" s="1" t="n">
        <v>800000</v>
      </c>
    </row>
    <row r="14" customFormat="false" ht="15" hidden="false" customHeight="true" outlineLevel="0" collapsed="false">
      <c r="A14" s="1" t="s">
        <v>74</v>
      </c>
      <c r="B14" s="1" t="n">
        <v>60000</v>
      </c>
    </row>
    <row r="15" customFormat="false" ht="15" hidden="false" customHeight="true" outlineLevel="0" collapsed="false">
      <c r="A15" s="1" t="s">
        <v>16</v>
      </c>
      <c r="B15" s="1" t="n">
        <v>18000000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8.17"/>
    <col collapsed="false" customWidth="true" hidden="false" outlineLevel="0" max="2" min="2" style="1" width="18.3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28</v>
      </c>
      <c r="B2" s="2" t="n">
        <f aca="false">50*730000000</f>
        <v>36500000000</v>
      </c>
    </row>
    <row r="3" customFormat="false" ht="15" hidden="false" customHeight="true" outlineLevel="0" collapsed="false">
      <c r="A3" s="1" t="s">
        <v>82</v>
      </c>
      <c r="B3" s="2" t="n">
        <f aca="false">1*730000000</f>
        <v>730000000</v>
      </c>
    </row>
    <row r="4" customFormat="false" ht="15" hidden="false" customHeight="true" outlineLevel="0" collapsed="false">
      <c r="A4" s="1" t="s">
        <v>29</v>
      </c>
      <c r="B4" s="2" t="n">
        <f aca="false">4504*730000000</f>
        <v>3287920000000</v>
      </c>
    </row>
    <row r="5" customFormat="false" ht="15" hidden="false" customHeight="true" outlineLevel="0" collapsed="false">
      <c r="A5" s="1" t="s">
        <v>83</v>
      </c>
      <c r="B5" s="2" t="n">
        <f aca="false">383*730000000</f>
        <v>279590000000</v>
      </c>
    </row>
    <row r="6" customFormat="false" ht="15" hidden="false" customHeight="true" outlineLevel="0" collapsed="false">
      <c r="A6" s="1" t="s">
        <v>30</v>
      </c>
      <c r="B6" s="2" t="n">
        <f aca="false">346*730000000</f>
        <v>252580000000</v>
      </c>
    </row>
    <row r="7" customFormat="false" ht="15" hidden="false" customHeight="true" outlineLevel="0" collapsed="false">
      <c r="A7" s="1" t="s">
        <v>31</v>
      </c>
      <c r="B7" s="2" t="n">
        <f aca="false">0.5*730000000</f>
        <v>365000000</v>
      </c>
    </row>
    <row r="8" customFormat="false" ht="15" hidden="false" customHeight="true" outlineLevel="0" collapsed="false">
      <c r="A8" s="1" t="s">
        <v>2</v>
      </c>
      <c r="B8" s="2" t="n">
        <f aca="false">3230*730000000</f>
        <v>2357900000000</v>
      </c>
    </row>
    <row r="9" customFormat="false" ht="15" hidden="false" customHeight="true" outlineLevel="0" collapsed="false">
      <c r="A9" s="1" t="s">
        <v>84</v>
      </c>
      <c r="B9" s="2" t="n">
        <f aca="false">8*730000000</f>
        <v>5840000000</v>
      </c>
    </row>
    <row r="10" customFormat="false" ht="15" hidden="false" customHeight="true" outlineLevel="0" collapsed="false">
      <c r="A10" s="1" t="s">
        <v>85</v>
      </c>
      <c r="B10" s="2" t="n">
        <f aca="false">1269*730000000</f>
        <v>926370000000</v>
      </c>
    </row>
    <row r="11" customFormat="false" ht="15" hidden="false" customHeight="true" outlineLevel="0" collapsed="false">
      <c r="A11" s="1" t="s">
        <v>86</v>
      </c>
      <c r="B11" s="2" t="n">
        <f aca="false">182*730000000</f>
        <v>132860000000</v>
      </c>
    </row>
    <row r="12" customFormat="false" ht="15" hidden="false" customHeight="true" outlineLevel="0" collapsed="false">
      <c r="A12" s="1" t="s">
        <v>32</v>
      </c>
      <c r="B12" s="2" t="n">
        <f aca="false">169*730000000</f>
        <v>123370000000</v>
      </c>
    </row>
    <row r="13" customFormat="false" ht="15" hidden="false" customHeight="true" outlineLevel="0" collapsed="false">
      <c r="A13" s="1" t="s">
        <v>87</v>
      </c>
      <c r="B13" s="2" t="n">
        <f aca="false">0.5*730000000</f>
        <v>365000000</v>
      </c>
    </row>
    <row r="14" customFormat="false" ht="15" hidden="false" customHeight="true" outlineLevel="0" collapsed="false">
      <c r="A14" s="1" t="s">
        <v>88</v>
      </c>
      <c r="B14" s="2" t="n">
        <f aca="false">3*730000000</f>
        <v>2190000000</v>
      </c>
    </row>
    <row r="15" customFormat="false" ht="15" hidden="false" customHeight="true" outlineLevel="0" collapsed="false">
      <c r="A15" s="1" t="s">
        <v>90</v>
      </c>
      <c r="B15" s="2" t="n">
        <f aca="false">0.5*730000000</f>
        <v>365000000</v>
      </c>
    </row>
    <row r="16" customFormat="false" ht="15" hidden="false" customHeight="true" outlineLevel="0" collapsed="false">
      <c r="A16" s="1" t="s">
        <v>17</v>
      </c>
      <c r="B16" s="2" t="n">
        <f aca="false">292*730000000</f>
        <v>213160000000</v>
      </c>
    </row>
    <row r="17" customFormat="false" ht="15" hidden="false" customHeight="true" outlineLevel="0" collapsed="false">
      <c r="A17" s="1" t="s">
        <v>3</v>
      </c>
      <c r="B17" s="2" t="n">
        <f aca="false">370*730000000</f>
        <v>270100000000</v>
      </c>
    </row>
    <row r="18" customFormat="false" ht="15" hidden="false" customHeight="true" outlineLevel="0" collapsed="false">
      <c r="A18" s="1" t="s">
        <v>91</v>
      </c>
      <c r="B18" s="2" t="n">
        <f aca="false">240*730000000</f>
        <v>175200000000</v>
      </c>
    </row>
    <row r="19" customFormat="false" ht="15" hidden="false" customHeight="true" outlineLevel="0" collapsed="false">
      <c r="A19" s="1" t="s">
        <v>34</v>
      </c>
      <c r="B19" s="2" t="n">
        <f aca="false">6*730000000</f>
        <v>4380000000</v>
      </c>
    </row>
    <row r="20" customFormat="false" ht="15" hidden="false" customHeight="true" outlineLevel="0" collapsed="false">
      <c r="A20" s="1" t="s">
        <v>92</v>
      </c>
      <c r="B20" s="2" t="n">
        <f aca="false">135*730000000</f>
        <v>98550000000</v>
      </c>
    </row>
    <row r="21" customFormat="false" ht="15" hidden="false" customHeight="true" outlineLevel="0" collapsed="false">
      <c r="A21" s="1" t="s">
        <v>18</v>
      </c>
      <c r="B21" s="2" t="n">
        <f aca="false">2040*730000000</f>
        <v>1489200000000</v>
      </c>
    </row>
    <row r="22" customFormat="false" ht="15" hidden="false" customHeight="true" outlineLevel="0" collapsed="false">
      <c r="A22" s="1" t="s">
        <v>4</v>
      </c>
      <c r="B22" s="2" t="n">
        <f aca="false">6021*730000000</f>
        <v>4395330000000</v>
      </c>
    </row>
    <row r="23" customFormat="false" ht="15" hidden="false" customHeight="true" outlineLevel="0" collapsed="false">
      <c r="A23" s="1" t="s">
        <v>36</v>
      </c>
      <c r="B23" s="2" t="n">
        <f aca="false">106*730000000</f>
        <v>77380000000</v>
      </c>
    </row>
    <row r="24" customFormat="false" ht="15" hidden="false" customHeight="true" outlineLevel="0" collapsed="false">
      <c r="A24" s="1" t="s">
        <v>37</v>
      </c>
      <c r="B24" s="2" t="n">
        <f aca="false">1*730000000</f>
        <v>730000000</v>
      </c>
    </row>
    <row r="25" customFormat="false" ht="15" hidden="false" customHeight="true" outlineLevel="0" collapsed="false">
      <c r="A25" s="1" t="s">
        <v>115</v>
      </c>
      <c r="B25" s="2" t="n">
        <f aca="false">109*730000000</f>
        <v>79570000000</v>
      </c>
    </row>
    <row r="26" customFormat="false" ht="15" hidden="false" customHeight="true" outlineLevel="0" collapsed="false">
      <c r="A26" s="1" t="s">
        <v>94</v>
      </c>
      <c r="B26" s="2" t="n">
        <f aca="false">25*730000000</f>
        <v>18250000000</v>
      </c>
    </row>
    <row r="27" customFormat="false" ht="15" hidden="false" customHeight="true" outlineLevel="0" collapsed="false">
      <c r="A27" s="1" t="s">
        <v>78</v>
      </c>
      <c r="B27" s="2" t="n">
        <f aca="false">71*730000000</f>
        <v>51830000000</v>
      </c>
    </row>
    <row r="28" customFormat="false" ht="15" hidden="false" customHeight="true" outlineLevel="0" collapsed="false">
      <c r="A28" s="1" t="s">
        <v>38</v>
      </c>
      <c r="B28" s="2" t="n">
        <f aca="false">4*730000000</f>
        <v>2920000000</v>
      </c>
    </row>
    <row r="29" customFormat="false" ht="15" hidden="false" customHeight="true" outlineLevel="0" collapsed="false">
      <c r="A29" s="1" t="s">
        <v>106</v>
      </c>
      <c r="B29" s="2" t="n">
        <f aca="false">28*730000000</f>
        <v>20440000000</v>
      </c>
    </row>
    <row r="30" customFormat="false" ht="15" hidden="false" customHeight="true" outlineLevel="0" collapsed="false">
      <c r="A30" s="1" t="s">
        <v>95</v>
      </c>
      <c r="B30" s="2" t="n">
        <f aca="false">27*730000000</f>
        <v>19710000000</v>
      </c>
    </row>
    <row r="31" customFormat="false" ht="15" hidden="false" customHeight="true" outlineLevel="0" collapsed="false">
      <c r="A31" s="1" t="s">
        <v>96</v>
      </c>
      <c r="B31" s="2" t="n">
        <f aca="false">11*730000000</f>
        <v>8030000000</v>
      </c>
    </row>
    <row r="32" customFormat="false" ht="15" hidden="false" customHeight="true" outlineLevel="0" collapsed="false">
      <c r="A32" s="1" t="s">
        <v>39</v>
      </c>
      <c r="B32" s="2" t="n">
        <f aca="false">2138*730000000</f>
        <v>1560740000000</v>
      </c>
    </row>
    <row r="33" customFormat="false" ht="15" hidden="false" customHeight="true" outlineLevel="0" collapsed="false">
      <c r="A33" s="1" t="s">
        <v>97</v>
      </c>
      <c r="B33" s="2" t="n">
        <f aca="false">42*730000000</f>
        <v>30660000000</v>
      </c>
    </row>
    <row r="34" customFormat="false" ht="15" hidden="false" customHeight="true" outlineLevel="0" collapsed="false">
      <c r="A34" s="1" t="s">
        <v>136</v>
      </c>
      <c r="B34" s="2" t="n">
        <f aca="false">35*730000000</f>
        <v>25550000000</v>
      </c>
    </row>
    <row r="35" customFormat="false" ht="15" hidden="false" customHeight="true" outlineLevel="0" collapsed="false">
      <c r="A35" s="1" t="s">
        <v>99</v>
      </c>
      <c r="B35" s="2" t="n">
        <f aca="false">8*730000000</f>
        <v>5840000000</v>
      </c>
    </row>
    <row r="36" customFormat="false" ht="15" hidden="false" customHeight="true" outlineLevel="0" collapsed="false">
      <c r="A36" s="1" t="s">
        <v>100</v>
      </c>
      <c r="B36" s="2" t="n">
        <f aca="false">26*730000000</f>
        <v>18980000000</v>
      </c>
    </row>
    <row r="37" customFormat="false" ht="15" hidden="false" customHeight="true" outlineLevel="0" collapsed="false">
      <c r="A37" s="1" t="s">
        <v>41</v>
      </c>
      <c r="B37" s="2" t="n">
        <f aca="false">8*730000000</f>
        <v>5840000000</v>
      </c>
    </row>
    <row r="38" customFormat="false" ht="15" hidden="false" customHeight="true" outlineLevel="0" collapsed="false">
      <c r="A38" s="1" t="s">
        <v>81</v>
      </c>
      <c r="B38" s="2" t="n">
        <f aca="false">30*730000000</f>
        <v>21900000000</v>
      </c>
    </row>
    <row r="39" customFormat="false" ht="15" hidden="false" customHeight="true" outlineLevel="0" collapsed="false">
      <c r="A39" s="1" t="s">
        <v>101</v>
      </c>
      <c r="B39" s="2" t="n">
        <f aca="false">23*730000000</f>
        <v>16790000000</v>
      </c>
    </row>
    <row r="40" customFormat="false" ht="15" hidden="false" customHeight="true" outlineLevel="0" collapsed="false">
      <c r="A40" s="1" t="s">
        <v>102</v>
      </c>
      <c r="B40" s="2" t="n">
        <f aca="false">1*730000000</f>
        <v>730000000</v>
      </c>
    </row>
    <row r="41" customFormat="false" ht="15" hidden="false" customHeight="true" outlineLevel="0" collapsed="false">
      <c r="A41" s="1" t="s">
        <v>43</v>
      </c>
      <c r="B41" s="2" t="n">
        <f aca="false">6*730000000</f>
        <v>4380000000</v>
      </c>
    </row>
    <row r="42" customFormat="false" ht="15" hidden="false" customHeight="true" outlineLevel="0" collapsed="false">
      <c r="A42" s="1" t="s">
        <v>6</v>
      </c>
      <c r="B42" s="2" t="n">
        <f aca="false">1289*730000000</f>
        <v>940970000000</v>
      </c>
    </row>
    <row r="43" customFormat="false" ht="15" hidden="false" customHeight="true" outlineLevel="0" collapsed="false">
      <c r="A43" s="1" t="s">
        <v>7</v>
      </c>
      <c r="B43" s="2" t="n">
        <f aca="false">2761*730000000</f>
        <v>2015530000000</v>
      </c>
    </row>
    <row r="44" customFormat="false" ht="15" hidden="false" customHeight="true" outlineLevel="0" collapsed="false">
      <c r="A44" s="1" t="s">
        <v>44</v>
      </c>
      <c r="B44" s="2" t="n">
        <f aca="false">33813*730000000</f>
        <v>24683490000000</v>
      </c>
    </row>
    <row r="45" customFormat="false" ht="15" hidden="false" customHeight="true" outlineLevel="0" collapsed="false">
      <c r="A45" s="1" t="s">
        <v>104</v>
      </c>
      <c r="B45" s="2" t="n">
        <f aca="false">3557*730000000</f>
        <v>2596610000000</v>
      </c>
    </row>
    <row r="46" customFormat="false" ht="15" hidden="false" customHeight="true" outlineLevel="0" collapsed="false">
      <c r="A46" s="1" t="s">
        <v>45</v>
      </c>
      <c r="B46" s="2" t="n">
        <f aca="false">10*730000000</f>
        <v>7300000000</v>
      </c>
    </row>
    <row r="47" customFormat="false" ht="15" hidden="false" customHeight="true" outlineLevel="0" collapsed="false">
      <c r="A47" s="1" t="s">
        <v>105</v>
      </c>
      <c r="B47" s="2" t="n">
        <f aca="false">412*730000000</f>
        <v>300760000000</v>
      </c>
    </row>
    <row r="48" customFormat="false" ht="15" hidden="false" customHeight="true" outlineLevel="0" collapsed="false">
      <c r="A48" s="1" t="s">
        <v>46</v>
      </c>
      <c r="B48" s="2" t="n">
        <f aca="false">45*730000000</f>
        <v>32850000000</v>
      </c>
    </row>
    <row r="49" customFormat="false" ht="15" hidden="false" customHeight="true" outlineLevel="0" collapsed="false">
      <c r="A49" s="1" t="s">
        <v>47</v>
      </c>
      <c r="B49" s="2" t="n">
        <f aca="false">21*730000000</f>
        <v>15330000000</v>
      </c>
    </row>
    <row r="50" customFormat="false" ht="15" hidden="false" customHeight="true" outlineLevel="0" collapsed="false">
      <c r="A50" s="1" t="s">
        <v>107</v>
      </c>
      <c r="B50" s="2" t="n">
        <f aca="false">6*730000000</f>
        <v>4380000000</v>
      </c>
    </row>
    <row r="51" customFormat="false" ht="15" hidden="false" customHeight="true" outlineLevel="0" collapsed="false">
      <c r="A51" s="1" t="s">
        <v>9</v>
      </c>
      <c r="B51" s="2" t="n">
        <f aca="false">1885*730000000</f>
        <v>1376050000000</v>
      </c>
    </row>
    <row r="52" customFormat="false" ht="15" hidden="false" customHeight="true" outlineLevel="0" collapsed="false">
      <c r="A52" s="1" t="s">
        <v>49</v>
      </c>
      <c r="B52" s="2" t="n">
        <f aca="false">7*730000000</f>
        <v>5110000000</v>
      </c>
    </row>
    <row r="53" customFormat="false" ht="15" hidden="false" customHeight="true" outlineLevel="0" collapsed="false">
      <c r="A53" s="1" t="s">
        <v>108</v>
      </c>
      <c r="B53" s="2" t="n">
        <f aca="false">1784*730000000</f>
        <v>1302320000000</v>
      </c>
    </row>
    <row r="54" customFormat="false" ht="15" hidden="false" customHeight="true" outlineLevel="0" collapsed="false">
      <c r="A54" s="1" t="s">
        <v>19</v>
      </c>
      <c r="B54" s="2" t="n">
        <f aca="false">6*730000000</f>
        <v>4380000000</v>
      </c>
    </row>
    <row r="55" customFormat="false" ht="15" hidden="false" customHeight="true" outlineLevel="0" collapsed="false">
      <c r="A55" s="1" t="s">
        <v>109</v>
      </c>
      <c r="B55" s="2" t="n">
        <f aca="false">1505*730000000</f>
        <v>1098650000000</v>
      </c>
    </row>
    <row r="56" customFormat="false" ht="15" hidden="false" customHeight="true" outlineLevel="0" collapsed="false">
      <c r="A56" s="1" t="s">
        <v>10</v>
      </c>
      <c r="B56" s="2" t="n">
        <f aca="false">2348*730000000</f>
        <v>1714040000000</v>
      </c>
    </row>
    <row r="57" customFormat="false" ht="15" hidden="false" customHeight="true" outlineLevel="0" collapsed="false">
      <c r="A57" s="1" t="s">
        <v>111</v>
      </c>
      <c r="B57" s="2" t="n">
        <f aca="false">28*730000000</f>
        <v>20440000000</v>
      </c>
    </row>
    <row r="58" customFormat="false" ht="15" hidden="false" customHeight="true" outlineLevel="0" collapsed="false">
      <c r="A58" s="1" t="s">
        <v>20</v>
      </c>
      <c r="B58" s="2" t="n">
        <f aca="false">185*730000000</f>
        <v>135050000000</v>
      </c>
    </row>
    <row r="59" customFormat="false" ht="15" hidden="false" customHeight="true" outlineLevel="0" collapsed="false">
      <c r="A59" s="1" t="s">
        <v>54</v>
      </c>
      <c r="B59" s="2" t="n">
        <f aca="false">5*730000000</f>
        <v>3650000000</v>
      </c>
    </row>
    <row r="60" customFormat="false" ht="15" hidden="false" customHeight="true" outlineLevel="0" collapsed="false">
      <c r="A60" s="1" t="s">
        <v>55</v>
      </c>
      <c r="B60" s="2" t="n">
        <f aca="false">2832*730000000</f>
        <v>2067360000000</v>
      </c>
    </row>
    <row r="61" customFormat="false" ht="15" hidden="false" customHeight="true" outlineLevel="0" collapsed="false">
      <c r="A61" s="1" t="s">
        <v>56</v>
      </c>
      <c r="B61" s="2" t="n">
        <f aca="false">637*730000000</f>
        <v>465010000000</v>
      </c>
    </row>
    <row r="62" customFormat="false" ht="15" hidden="false" customHeight="true" outlineLevel="0" collapsed="false">
      <c r="A62" s="1" t="s">
        <v>137</v>
      </c>
      <c r="B62" s="2" t="n">
        <f aca="false">62*730000000</f>
        <v>45260000000</v>
      </c>
    </row>
    <row r="63" customFormat="false" ht="15" hidden="false" customHeight="true" outlineLevel="0" collapsed="false">
      <c r="A63" s="1" t="s">
        <v>58</v>
      </c>
      <c r="B63" s="2" t="n">
        <f aca="false">209*730000000</f>
        <v>152570000000</v>
      </c>
    </row>
    <row r="64" customFormat="false" ht="15" hidden="false" customHeight="true" outlineLevel="0" collapsed="false">
      <c r="A64" s="1" t="s">
        <v>60</v>
      </c>
      <c r="B64" s="2" t="n">
        <f aca="false">28*730000000</f>
        <v>20440000000</v>
      </c>
    </row>
    <row r="65" customFormat="false" ht="15" hidden="false" customHeight="true" outlineLevel="0" collapsed="false">
      <c r="A65" s="1" t="s">
        <v>61</v>
      </c>
      <c r="B65" s="2" t="n">
        <f aca="false">5346*730000000</f>
        <v>3902580000000</v>
      </c>
    </row>
    <row r="66" customFormat="false" ht="15" hidden="false" customHeight="true" outlineLevel="0" collapsed="false">
      <c r="A66" s="1" t="s">
        <v>62</v>
      </c>
      <c r="B66" s="2" t="n">
        <f aca="false">1611*730000000</f>
        <v>1176030000000</v>
      </c>
    </row>
    <row r="67" customFormat="false" ht="15" hidden="false" customHeight="true" outlineLevel="0" collapsed="false">
      <c r="A67" s="1" t="s">
        <v>113</v>
      </c>
      <c r="B67" s="2" t="n">
        <f aca="false">664*730000000</f>
        <v>484720000000</v>
      </c>
    </row>
    <row r="68" customFormat="false" ht="15" hidden="false" customHeight="true" outlineLevel="0" collapsed="false">
      <c r="A68" s="1" t="s">
        <v>21</v>
      </c>
      <c r="B68" s="2" t="n">
        <f aca="false">402*730000000</f>
        <v>293460000000</v>
      </c>
    </row>
    <row r="69" customFormat="false" ht="15" hidden="false" customHeight="true" outlineLevel="0" collapsed="false">
      <c r="A69" s="1" t="s">
        <v>80</v>
      </c>
      <c r="B69" s="2" t="n">
        <f aca="false">182*730000000</f>
        <v>132860000000</v>
      </c>
    </row>
    <row r="70" customFormat="false" ht="15" hidden="false" customHeight="true" outlineLevel="0" collapsed="false">
      <c r="A70" s="1" t="s">
        <v>24</v>
      </c>
      <c r="B70" s="2" t="n">
        <f aca="false">351*730000000</f>
        <v>256230000000</v>
      </c>
    </row>
    <row r="71" customFormat="false" ht="15" hidden="false" customHeight="true" outlineLevel="0" collapsed="false">
      <c r="A71" s="1" t="s">
        <v>63</v>
      </c>
      <c r="B71" s="2" t="n">
        <f aca="false">99*730000000</f>
        <v>72270000000</v>
      </c>
    </row>
    <row r="72" customFormat="false" ht="15" hidden="false" customHeight="true" outlineLevel="0" collapsed="false">
      <c r="A72" s="1" t="s">
        <v>25</v>
      </c>
      <c r="B72" s="2" t="n">
        <f aca="false">88*730000000</f>
        <v>64240000000</v>
      </c>
    </row>
    <row r="73" customFormat="false" ht="15" hidden="false" customHeight="true" outlineLevel="0" collapsed="false">
      <c r="A73" s="1" t="s">
        <v>114</v>
      </c>
      <c r="B73" s="2" t="n">
        <f aca="false">23846*730000000</f>
        <v>17407580000000</v>
      </c>
    </row>
    <row r="74" customFormat="false" ht="15" hidden="false" customHeight="true" outlineLevel="0" collapsed="false">
      <c r="A74" s="1" t="s">
        <v>65</v>
      </c>
      <c r="B74" s="2" t="n">
        <f aca="false">105*730000000</f>
        <v>76650000000</v>
      </c>
    </row>
    <row r="75" customFormat="false" ht="15" hidden="false" customHeight="true" outlineLevel="0" collapsed="false">
      <c r="A75" s="1" t="s">
        <v>11</v>
      </c>
      <c r="B75" s="2" t="n">
        <f aca="false">47811*730000000</f>
        <v>34902030000000</v>
      </c>
    </row>
    <row r="76" customFormat="false" ht="15" hidden="false" customHeight="true" outlineLevel="0" collapsed="false">
      <c r="A76" s="1" t="s">
        <v>138</v>
      </c>
      <c r="B76" s="2" t="n">
        <v>730000000</v>
      </c>
    </row>
    <row r="77" customFormat="false" ht="15" hidden="false" customHeight="true" outlineLevel="0" collapsed="false">
      <c r="A77" s="1" t="s">
        <v>12</v>
      </c>
      <c r="B77" s="2" t="n">
        <f aca="false">8035*730000000</f>
        <v>5865550000000</v>
      </c>
    </row>
    <row r="78" customFormat="false" ht="15" hidden="false" customHeight="true" outlineLevel="0" collapsed="false">
      <c r="A78" s="1" t="s">
        <v>66</v>
      </c>
      <c r="B78" s="2" t="n">
        <f aca="false">48*730000000</f>
        <v>35040000000</v>
      </c>
    </row>
    <row r="79" customFormat="false" ht="15" hidden="false" customHeight="true" outlineLevel="0" collapsed="false">
      <c r="A79" s="1" t="s">
        <v>117</v>
      </c>
      <c r="B79" s="2" t="n">
        <f aca="false">14*730000000</f>
        <v>10220000000</v>
      </c>
    </row>
    <row r="80" customFormat="false" ht="15" hidden="false" customHeight="true" outlineLevel="0" collapsed="false">
      <c r="A80" s="1" t="s">
        <v>67</v>
      </c>
      <c r="B80" s="2" t="n">
        <v>730000000</v>
      </c>
    </row>
    <row r="81" customFormat="false" ht="15" hidden="false" customHeight="true" outlineLevel="0" collapsed="false">
      <c r="A81" s="1" t="s">
        <v>139</v>
      </c>
      <c r="B81" s="2" t="n">
        <f aca="false">6*730000000</f>
        <v>4380000000</v>
      </c>
    </row>
    <row r="82" customFormat="false" ht="15" hidden="false" customHeight="true" outlineLevel="0" collapsed="false">
      <c r="A82" s="1" t="s">
        <v>27</v>
      </c>
      <c r="B82" s="2" t="n">
        <f aca="false">10*730000000</f>
        <v>7300000000</v>
      </c>
    </row>
    <row r="83" customFormat="false" ht="15" hidden="false" customHeight="true" outlineLevel="0" collapsed="false">
      <c r="A83" s="1" t="s">
        <v>68</v>
      </c>
      <c r="B83" s="2" t="n">
        <f aca="false">3*730000000</f>
        <v>2190000000</v>
      </c>
    </row>
    <row r="84" customFormat="false" ht="15" hidden="false" customHeight="true" outlineLevel="0" collapsed="false">
      <c r="A84" s="1" t="s">
        <v>119</v>
      </c>
      <c r="B84" s="2" t="n">
        <f aca="false">85*730000000</f>
        <v>62050000000</v>
      </c>
    </row>
    <row r="85" customFormat="false" ht="15" hidden="false" customHeight="true" outlineLevel="0" collapsed="false">
      <c r="A85" s="1" t="s">
        <v>140</v>
      </c>
      <c r="B85" s="2" t="n">
        <f aca="false">269*730000000</f>
        <v>196370000000</v>
      </c>
    </row>
    <row r="86" customFormat="false" ht="15" hidden="false" customHeight="true" outlineLevel="0" collapsed="false">
      <c r="A86" s="1" t="s">
        <v>70</v>
      </c>
      <c r="B86" s="2" t="n">
        <f aca="false">6*730000000</f>
        <v>4380000000</v>
      </c>
    </row>
    <row r="87" customFormat="false" ht="15" hidden="false" customHeight="true" outlineLevel="0" collapsed="false">
      <c r="A87" s="1" t="s">
        <v>22</v>
      </c>
      <c r="B87" s="2" t="n">
        <f aca="false">6*730000000</f>
        <v>4380000000</v>
      </c>
    </row>
    <row r="88" customFormat="false" ht="15" hidden="false" customHeight="true" outlineLevel="0" collapsed="false">
      <c r="A88" s="1" t="s">
        <v>71</v>
      </c>
      <c r="B88" s="2" t="n">
        <f aca="false">37*730000000</f>
        <v>27010000000</v>
      </c>
    </row>
    <row r="89" customFormat="false" ht="15" hidden="false" customHeight="true" outlineLevel="0" collapsed="false">
      <c r="A89" s="1" t="s">
        <v>122</v>
      </c>
      <c r="B89" s="2" t="n">
        <f aca="false">188*730000000</f>
        <v>137240000000</v>
      </c>
    </row>
    <row r="90" customFormat="false" ht="15" hidden="false" customHeight="true" outlineLevel="0" collapsed="false">
      <c r="A90" s="1" t="s">
        <v>123</v>
      </c>
      <c r="B90" s="2" t="n">
        <f aca="false">88*730000000</f>
        <v>64240000000</v>
      </c>
    </row>
    <row r="91" customFormat="false" ht="15" hidden="false" customHeight="true" outlineLevel="0" collapsed="false">
      <c r="A91" s="1" t="s">
        <v>124</v>
      </c>
      <c r="B91" s="2" t="n">
        <f aca="false">310*730000000</f>
        <v>226300000000</v>
      </c>
    </row>
    <row r="92" customFormat="false" ht="15" hidden="false" customHeight="true" outlineLevel="0" collapsed="false">
      <c r="A92" s="1" t="s">
        <v>125</v>
      </c>
      <c r="B92" s="2" t="n">
        <f aca="false">65*730000000</f>
        <v>47450000000</v>
      </c>
    </row>
    <row r="93" customFormat="false" ht="15" hidden="false" customHeight="true" outlineLevel="0" collapsed="false">
      <c r="A93" s="1" t="s">
        <v>23</v>
      </c>
      <c r="B93" s="2" t="n">
        <f aca="false">5*730000000</f>
        <v>3650000000</v>
      </c>
    </row>
    <row r="94" customFormat="false" ht="15" hidden="false" customHeight="true" outlineLevel="0" collapsed="false">
      <c r="A94" s="1" t="s">
        <v>126</v>
      </c>
      <c r="B94" s="2" t="n">
        <f aca="false">9805*730000000</f>
        <v>7157650000000</v>
      </c>
    </row>
    <row r="95" customFormat="false" ht="15" hidden="false" customHeight="true" outlineLevel="0" collapsed="false">
      <c r="A95" s="1" t="s">
        <v>141</v>
      </c>
      <c r="B95" s="2" t="n">
        <f aca="false">6091*730000000</f>
        <v>4446430000000</v>
      </c>
    </row>
    <row r="96" customFormat="false" ht="15" hidden="false" customHeight="true" outlineLevel="0" collapsed="false">
      <c r="A96" s="1" t="s">
        <v>13</v>
      </c>
      <c r="B96" s="2" t="n">
        <f aca="false">11888*730000000</f>
        <v>8678240000000</v>
      </c>
    </row>
    <row r="97" customFormat="false" ht="15" hidden="false" customHeight="true" outlineLevel="0" collapsed="false">
      <c r="A97" s="1" t="s">
        <v>127</v>
      </c>
      <c r="B97" s="2" t="n">
        <f aca="false">14*730000000</f>
        <v>10220000000</v>
      </c>
    </row>
    <row r="98" customFormat="false" ht="15" hidden="false" customHeight="true" outlineLevel="0" collapsed="false">
      <c r="A98" s="1" t="s">
        <v>72</v>
      </c>
      <c r="B98" s="2" t="n">
        <f aca="false">950*730000000</f>
        <v>693500000000</v>
      </c>
    </row>
    <row r="99" customFormat="false" ht="15" hidden="false" customHeight="true" outlineLevel="0" collapsed="false">
      <c r="A99" s="1" t="s">
        <v>73</v>
      </c>
      <c r="B99" s="2" t="n">
        <f aca="false">264*730000000</f>
        <v>192720000000</v>
      </c>
    </row>
    <row r="100" customFormat="false" ht="15" hidden="false" customHeight="true" outlineLevel="0" collapsed="false">
      <c r="A100" s="1" t="s">
        <v>74</v>
      </c>
      <c r="B100" s="2" t="n">
        <f aca="false">1542*730000000</f>
        <v>1125660000000</v>
      </c>
    </row>
    <row r="101" customFormat="false" ht="15" hidden="false" customHeight="true" outlineLevel="0" collapsed="false">
      <c r="A101" s="1" t="s">
        <v>75</v>
      </c>
      <c r="B101" s="2" t="n">
        <f aca="false">5708*730000000</f>
        <v>4166840000000</v>
      </c>
    </row>
    <row r="102" customFormat="false" ht="15" hidden="false" customHeight="true" outlineLevel="0" collapsed="false">
      <c r="A102" s="1" t="s">
        <v>14</v>
      </c>
      <c r="B102" s="2" t="n">
        <f aca="false">646*730000000</f>
        <v>471580000000</v>
      </c>
    </row>
    <row r="103" customFormat="false" ht="15" hidden="false" customHeight="true" outlineLevel="0" collapsed="false">
      <c r="A103" s="1" t="s">
        <v>129</v>
      </c>
      <c r="B103" s="2" t="n">
        <f aca="false">267*730000000</f>
        <v>194910000000</v>
      </c>
    </row>
    <row r="104" customFormat="false" ht="15" hidden="false" customHeight="true" outlineLevel="0" collapsed="false">
      <c r="A104" s="1" t="s">
        <v>16</v>
      </c>
      <c r="B104" s="2" t="n">
        <f aca="false">202239*730000000</f>
        <v>147634470000000</v>
      </c>
    </row>
    <row r="138" customFormat="false" ht="15" hidden="false" customHeight="true" outlineLevel="0" collapsed="false">
      <c r="B138" s="6"/>
    </row>
    <row r="139" customFormat="false" ht="15" hidden="false" customHeight="true" outlineLevel="0" collapsed="false">
      <c r="B139" s="6"/>
    </row>
    <row r="140" customFormat="false" ht="15" hidden="false" customHeight="true" outlineLevel="0" collapsed="false">
      <c r="B140" s="6"/>
    </row>
    <row r="141" customFormat="false" ht="15" hidden="false" customHeight="true" outlineLevel="0" collapsed="false">
      <c r="B141" s="6"/>
    </row>
    <row r="142" customFormat="false" ht="15" hidden="false" customHeight="true" outlineLevel="0" collapsed="false">
      <c r="B142" s="6"/>
    </row>
    <row r="143" customFormat="false" ht="15" hidden="false" customHeight="true" outlineLevel="0" collapsed="false">
      <c r="B143" s="6"/>
    </row>
    <row r="144" customFormat="false" ht="15" hidden="false" customHeight="true" outlineLevel="0" collapsed="false">
      <c r="B144" s="6"/>
    </row>
    <row r="145" customFormat="false" ht="15" hidden="false" customHeight="true" outlineLevel="0" collapsed="false">
      <c r="B145" s="6"/>
    </row>
    <row r="146" customFormat="false" ht="15" hidden="false" customHeight="true" outlineLevel="0" collapsed="false">
      <c r="B146" s="6"/>
    </row>
    <row r="147" customFormat="false" ht="15" hidden="false" customHeight="true" outlineLevel="0" collapsed="false">
      <c r="B147" s="6"/>
    </row>
    <row r="148" customFormat="false" ht="15" hidden="false" customHeight="true" outlineLevel="0" collapsed="false">
      <c r="B148" s="6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7.67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100000</v>
      </c>
    </row>
    <row r="3" customFormat="false" ht="15" hidden="false" customHeight="true" outlineLevel="0" collapsed="false">
      <c r="A3" s="1" t="s">
        <v>2</v>
      </c>
      <c r="B3" s="1" t="n">
        <v>20000000</v>
      </c>
    </row>
    <row r="4" customFormat="false" ht="15" hidden="false" customHeight="true" outlineLevel="0" collapsed="false">
      <c r="A4" s="1" t="s">
        <v>3</v>
      </c>
      <c r="B4" s="1" t="n">
        <v>16000000</v>
      </c>
    </row>
    <row r="5" customFormat="false" ht="15" hidden="false" customHeight="true" outlineLevel="0" collapsed="false">
      <c r="A5" s="1" t="s">
        <v>18</v>
      </c>
      <c r="B5" s="1" t="n">
        <v>2800000</v>
      </c>
    </row>
    <row r="6" customFormat="false" ht="15" hidden="false" customHeight="true" outlineLevel="0" collapsed="false">
      <c r="A6" s="1" t="s">
        <v>4</v>
      </c>
      <c r="B6" s="1" t="n">
        <v>2800000</v>
      </c>
    </row>
    <row r="7" customFormat="false" ht="15" hidden="false" customHeight="true" outlineLevel="0" collapsed="false">
      <c r="A7" s="1" t="s">
        <v>78</v>
      </c>
      <c r="B7" s="1" t="n">
        <v>5500000</v>
      </c>
    </row>
    <row r="8" customFormat="false" ht="15" hidden="false" customHeight="true" outlineLevel="0" collapsed="false">
      <c r="A8" s="1" t="s">
        <v>7</v>
      </c>
      <c r="B8" s="1" t="n">
        <v>21000000</v>
      </c>
    </row>
    <row r="9" customFormat="false" ht="15" hidden="false" customHeight="true" outlineLevel="0" collapsed="false">
      <c r="A9" s="1" t="s">
        <v>63</v>
      </c>
      <c r="B9" s="1" t="n">
        <v>4800000</v>
      </c>
    </row>
    <row r="10" customFormat="false" ht="15" hidden="false" customHeight="true" outlineLevel="0" collapsed="false">
      <c r="A10" s="1" t="s">
        <v>11</v>
      </c>
      <c r="B10" s="1" t="n">
        <v>6900000</v>
      </c>
    </row>
    <row r="11" customFormat="false" ht="15" hidden="false" customHeight="true" outlineLevel="0" collapsed="false">
      <c r="A11" s="1" t="s">
        <v>15</v>
      </c>
      <c r="B11" s="1" t="n">
        <v>14000000</v>
      </c>
    </row>
    <row r="12" customFormat="false" ht="15" hidden="false" customHeight="true" outlineLevel="0" collapsed="false">
      <c r="A12" s="1" t="s">
        <v>16</v>
      </c>
      <c r="B12" s="1" t="n">
        <v>94000000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17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170000</v>
      </c>
    </row>
    <row r="3" customFormat="false" ht="15" hidden="false" customHeight="true" outlineLevel="0" collapsed="false">
      <c r="A3" s="1" t="s">
        <v>3</v>
      </c>
      <c r="B3" s="1" t="n">
        <v>16000000</v>
      </c>
    </row>
    <row r="4" customFormat="false" ht="15" hidden="false" customHeight="true" outlineLevel="0" collapsed="false">
      <c r="A4" s="1" t="s">
        <v>18</v>
      </c>
      <c r="B4" s="1" t="n">
        <v>1600000</v>
      </c>
    </row>
    <row r="5" customFormat="false" ht="15" hidden="false" customHeight="true" outlineLevel="0" collapsed="false">
      <c r="A5" s="1" t="s">
        <v>16</v>
      </c>
      <c r="B5" s="1" t="n">
        <v>17000000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66"/>
    <col collapsed="false" customWidth="true" hidden="false" outlineLevel="0" max="2" min="2" style="1" width="12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1000000000</v>
      </c>
    </row>
    <row r="3" customFormat="false" ht="15" hidden="false" customHeight="true" outlineLevel="0" collapsed="false">
      <c r="A3" s="1" t="s">
        <v>29</v>
      </c>
      <c r="B3" s="1" t="n">
        <v>2200000000</v>
      </c>
    </row>
    <row r="4" customFormat="false" ht="15" hidden="false" customHeight="true" outlineLevel="0" collapsed="false">
      <c r="A4" s="1" t="s">
        <v>2</v>
      </c>
      <c r="B4" s="1" t="n">
        <v>1100000000</v>
      </c>
    </row>
    <row r="5" customFormat="false" ht="15" hidden="false" customHeight="true" outlineLevel="0" collapsed="false">
      <c r="A5" s="1" t="s">
        <v>3</v>
      </c>
      <c r="B5" s="1" t="n">
        <v>1600000000</v>
      </c>
    </row>
    <row r="6" customFormat="false" ht="15" hidden="false" customHeight="true" outlineLevel="0" collapsed="false">
      <c r="A6" s="1" t="s">
        <v>4</v>
      </c>
      <c r="B6" s="1" t="n">
        <v>3200000000</v>
      </c>
    </row>
    <row r="7" customFormat="false" ht="15" hidden="false" customHeight="true" outlineLevel="0" collapsed="false">
      <c r="A7" s="1" t="s">
        <v>39</v>
      </c>
      <c r="B7" s="1" t="n">
        <v>2800000000</v>
      </c>
    </row>
    <row r="8" customFormat="false" ht="15" hidden="false" customHeight="true" outlineLevel="0" collapsed="false">
      <c r="A8" s="1" t="s">
        <v>26</v>
      </c>
      <c r="B8" s="1" t="n">
        <v>1000000000</v>
      </c>
    </row>
    <row r="9" customFormat="false" ht="15" hidden="false" customHeight="true" outlineLevel="0" collapsed="false">
      <c r="A9" s="1" t="s">
        <v>6</v>
      </c>
      <c r="B9" s="1" t="n">
        <v>46000000</v>
      </c>
    </row>
    <row r="10" customFormat="false" ht="15" hidden="false" customHeight="true" outlineLevel="0" collapsed="false">
      <c r="A10" s="1" t="s">
        <v>105</v>
      </c>
      <c r="B10" s="1" t="n">
        <v>57000000</v>
      </c>
    </row>
    <row r="11" customFormat="false" ht="15" hidden="false" customHeight="true" outlineLevel="0" collapsed="false">
      <c r="A11" s="1" t="s">
        <v>107</v>
      </c>
      <c r="B11" s="1" t="n">
        <v>800000000</v>
      </c>
    </row>
    <row r="12" customFormat="false" ht="15" hidden="false" customHeight="true" outlineLevel="0" collapsed="false">
      <c r="A12" s="1" t="s">
        <v>9</v>
      </c>
      <c r="B12" s="1" t="n">
        <v>260000000</v>
      </c>
    </row>
    <row r="13" customFormat="false" ht="15" hidden="false" customHeight="true" outlineLevel="0" collapsed="false">
      <c r="A13" s="1" t="s">
        <v>20</v>
      </c>
      <c r="B13" s="1" t="n">
        <v>30000000</v>
      </c>
    </row>
    <row r="14" customFormat="false" ht="15" hidden="false" customHeight="true" outlineLevel="0" collapsed="false">
      <c r="A14" s="1" t="s">
        <v>54</v>
      </c>
      <c r="B14" s="1" t="n">
        <v>50000000000</v>
      </c>
    </row>
    <row r="15" customFormat="false" ht="15" hidden="false" customHeight="true" outlineLevel="0" collapsed="false">
      <c r="A15" s="1" t="s">
        <v>24</v>
      </c>
      <c r="B15" s="1" t="n">
        <v>210000000</v>
      </c>
    </row>
    <row r="16" customFormat="false" ht="15" hidden="false" customHeight="true" outlineLevel="0" collapsed="false">
      <c r="A16" s="1" t="s">
        <v>11</v>
      </c>
      <c r="B16" s="1" t="n">
        <v>600000000</v>
      </c>
    </row>
    <row r="17" customFormat="false" ht="15" hidden="false" customHeight="true" outlineLevel="0" collapsed="false">
      <c r="A17" s="1" t="s">
        <v>12</v>
      </c>
      <c r="B17" s="1" t="n">
        <v>1400000000</v>
      </c>
    </row>
    <row r="18" customFormat="false" ht="15" hidden="false" customHeight="true" outlineLevel="0" collapsed="false">
      <c r="A18" s="1" t="s">
        <v>142</v>
      </c>
      <c r="B18" s="1" t="n">
        <v>50000000</v>
      </c>
    </row>
    <row r="19" customFormat="false" ht="15" hidden="false" customHeight="true" outlineLevel="0" collapsed="false">
      <c r="A19" s="1" t="s">
        <v>27</v>
      </c>
      <c r="B19" s="1" t="n">
        <v>1400000000</v>
      </c>
    </row>
    <row r="20" customFormat="false" ht="15" hidden="false" customHeight="true" outlineLevel="0" collapsed="false">
      <c r="A20" s="1" t="s">
        <v>121</v>
      </c>
      <c r="B20" s="1" t="n">
        <v>1800000000</v>
      </c>
    </row>
    <row r="21" customFormat="false" ht="15" hidden="false" customHeight="true" outlineLevel="0" collapsed="false">
      <c r="A21" s="1" t="s">
        <v>143</v>
      </c>
      <c r="B21" s="1" t="n">
        <v>30000000</v>
      </c>
    </row>
    <row r="22" customFormat="false" ht="15" hidden="false" customHeight="true" outlineLevel="0" collapsed="false">
      <c r="A22" s="1" t="s">
        <v>125</v>
      </c>
      <c r="B22" s="1" t="n">
        <v>100000000</v>
      </c>
    </row>
    <row r="23" customFormat="false" ht="15" hidden="false" customHeight="true" outlineLevel="0" collapsed="false">
      <c r="A23" s="3" t="s">
        <v>74</v>
      </c>
      <c r="B23" s="1" t="n">
        <v>100000000</v>
      </c>
    </row>
    <row r="24" customFormat="false" ht="15" hidden="false" customHeight="true" outlineLevel="0" collapsed="false">
      <c r="A24" s="1" t="s">
        <v>14</v>
      </c>
      <c r="B24" s="1" t="n">
        <v>30000000</v>
      </c>
    </row>
    <row r="25" customFormat="false" ht="15" hidden="false" customHeight="true" outlineLevel="0" collapsed="false">
      <c r="A25" s="1" t="s">
        <v>15</v>
      </c>
      <c r="B25" s="1" t="n">
        <v>840000000</v>
      </c>
    </row>
    <row r="26" customFormat="false" ht="15" hidden="false" customHeight="true" outlineLevel="0" collapsed="false">
      <c r="A26" s="1" t="s">
        <v>16</v>
      </c>
      <c r="B26" s="1" t="n">
        <v>71000000000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8.3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f aca="false">900000/1000</f>
        <v>900</v>
      </c>
    </row>
    <row r="3" customFormat="false" ht="15" hidden="false" customHeight="true" outlineLevel="0" collapsed="false">
      <c r="A3" s="1" t="s">
        <v>18</v>
      </c>
      <c r="B3" s="1" t="n">
        <f aca="false">310000/1000</f>
        <v>310</v>
      </c>
    </row>
    <row r="4" customFormat="false" ht="15" hidden="false" customHeight="true" outlineLevel="0" collapsed="false">
      <c r="A4" s="1" t="s">
        <v>11</v>
      </c>
      <c r="B4" s="1" t="n">
        <f aca="false">3900000/1000</f>
        <v>3900</v>
      </c>
    </row>
    <row r="5" customFormat="false" ht="15" hidden="false" customHeight="true" outlineLevel="0" collapsed="false">
      <c r="A5" s="1" t="s">
        <v>27</v>
      </c>
      <c r="B5" s="1" t="n">
        <f aca="false">63000000/1000</f>
        <v>63000</v>
      </c>
    </row>
    <row r="6" customFormat="false" ht="15" hidden="false" customHeight="true" outlineLevel="0" collapsed="false">
      <c r="A6" s="1" t="s">
        <v>77</v>
      </c>
      <c r="B6" s="1" t="n">
        <f aca="false">1200000/1000</f>
        <v>1200</v>
      </c>
    </row>
    <row r="7" customFormat="false" ht="15" hidden="false" customHeight="true" outlineLevel="0" collapsed="false">
      <c r="A7" s="1" t="s">
        <v>16</v>
      </c>
      <c r="B7" s="1" t="n">
        <f aca="false">69000000/1000</f>
        <v>69000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83"/>
    <col collapsed="false" customWidth="true" hidden="false" outlineLevel="0" max="2" min="2" style="1" width="10.3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1500000</v>
      </c>
    </row>
    <row r="3" customFormat="false" ht="15" hidden="false" customHeight="true" outlineLevel="0" collapsed="false">
      <c r="A3" s="1" t="s">
        <v>2</v>
      </c>
      <c r="B3" s="1" t="n">
        <v>4100000</v>
      </c>
    </row>
    <row r="4" customFormat="false" ht="15" hidden="false" customHeight="true" outlineLevel="0" collapsed="false">
      <c r="A4" s="1" t="s">
        <v>3</v>
      </c>
      <c r="B4" s="1" t="n">
        <v>21000000</v>
      </c>
    </row>
    <row r="5" customFormat="false" ht="15" hidden="false" customHeight="true" outlineLevel="0" collapsed="false">
      <c r="A5" s="1" t="s">
        <v>18</v>
      </c>
      <c r="B5" s="1" t="n">
        <v>830000</v>
      </c>
    </row>
    <row r="6" customFormat="false" ht="15" hidden="false" customHeight="true" outlineLevel="0" collapsed="false">
      <c r="A6" s="1" t="s">
        <v>4</v>
      </c>
      <c r="B6" s="1" t="n">
        <v>44000000</v>
      </c>
    </row>
    <row r="7" customFormat="false" ht="15" hidden="false" customHeight="true" outlineLevel="0" collapsed="false">
      <c r="A7" s="1" t="s">
        <v>42</v>
      </c>
      <c r="B7" s="1" t="n">
        <v>1500000</v>
      </c>
    </row>
    <row r="8" customFormat="false" ht="15" hidden="false" customHeight="true" outlineLevel="0" collapsed="false">
      <c r="A8" s="1" t="s">
        <v>6</v>
      </c>
      <c r="B8" s="1" t="n">
        <v>6900000</v>
      </c>
    </row>
    <row r="9" customFormat="false" ht="15" hidden="false" customHeight="true" outlineLevel="0" collapsed="false">
      <c r="A9" s="1" t="s">
        <v>11</v>
      </c>
      <c r="B9" s="1" t="n">
        <v>12000000</v>
      </c>
    </row>
    <row r="10" customFormat="false" ht="15" hidden="false" customHeight="true" outlineLevel="0" collapsed="false">
      <c r="A10" s="1" t="s">
        <v>27</v>
      </c>
      <c r="B10" s="1" t="n">
        <v>790000</v>
      </c>
    </row>
    <row r="11" customFormat="false" ht="15" hidden="false" customHeight="true" outlineLevel="0" collapsed="false">
      <c r="A11" s="1" t="s">
        <v>71</v>
      </c>
      <c r="B11" s="1" t="n">
        <v>890000</v>
      </c>
    </row>
    <row r="12" customFormat="false" ht="15" hidden="false" customHeight="true" outlineLevel="0" collapsed="false">
      <c r="A12" s="1" t="s">
        <v>14</v>
      </c>
      <c r="B12" s="1" t="n">
        <v>22000000</v>
      </c>
    </row>
    <row r="13" customFormat="false" ht="15" hidden="false" customHeight="true" outlineLevel="0" collapsed="false">
      <c r="A13" s="1" t="s">
        <v>15</v>
      </c>
      <c r="B13" s="1" t="n">
        <v>310000</v>
      </c>
    </row>
    <row r="14" customFormat="false" ht="15" hidden="false" customHeight="true" outlineLevel="0" collapsed="false">
      <c r="A14" s="1" t="s">
        <v>16</v>
      </c>
      <c r="B14" s="1" t="n">
        <v>120000000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.8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10000</v>
      </c>
    </row>
    <row r="3" customFormat="false" ht="15" hidden="false" customHeight="true" outlineLevel="0" collapsed="false">
      <c r="A3" s="1" t="s">
        <v>18</v>
      </c>
      <c r="B3" s="1" t="n">
        <v>6000</v>
      </c>
    </row>
    <row r="4" customFormat="false" ht="15" hidden="false" customHeight="true" outlineLevel="0" collapsed="false">
      <c r="A4" s="1" t="s">
        <v>4</v>
      </c>
      <c r="B4" s="1" t="n">
        <v>26000</v>
      </c>
    </row>
    <row r="5" customFormat="false" ht="15" hidden="false" customHeight="true" outlineLevel="0" collapsed="false">
      <c r="A5" s="1" t="s">
        <v>24</v>
      </c>
      <c r="B5" s="1" t="n">
        <v>13000</v>
      </c>
    </row>
    <row r="6" customFormat="false" ht="15" hidden="false" customHeight="true" outlineLevel="0" collapsed="false">
      <c r="A6" s="1" t="s">
        <v>25</v>
      </c>
      <c r="B6" s="1" t="n">
        <v>3000</v>
      </c>
    </row>
    <row r="7" customFormat="false" ht="15" hidden="false" customHeight="true" outlineLevel="0" collapsed="false">
      <c r="A7" s="1" t="s">
        <v>11</v>
      </c>
      <c r="B7" s="1" t="n">
        <v>20000</v>
      </c>
    </row>
    <row r="8" customFormat="false" ht="15" hidden="false" customHeight="true" outlineLevel="0" collapsed="false">
      <c r="A8" s="1" t="s">
        <v>15</v>
      </c>
      <c r="B8" s="1" t="n">
        <v>22000</v>
      </c>
    </row>
    <row r="9" customFormat="false" ht="15" hidden="false" customHeight="true" outlineLevel="0" collapsed="false">
      <c r="A9" s="1" t="s">
        <v>16</v>
      </c>
      <c r="B9" s="1" t="n">
        <v>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26000</v>
      </c>
    </row>
    <row r="3" customFormat="false" ht="15" hidden="false" customHeight="true" outlineLevel="0" collapsed="false">
      <c r="A3" s="1" t="s">
        <v>2</v>
      </c>
      <c r="B3" s="1" t="n">
        <v>88000</v>
      </c>
    </row>
    <row r="4" customFormat="false" ht="15" hidden="false" customHeight="true" outlineLevel="0" collapsed="false">
      <c r="A4" s="1" t="s">
        <v>17</v>
      </c>
      <c r="B4" s="1" t="n">
        <v>22000</v>
      </c>
    </row>
    <row r="5" customFormat="false" ht="15" hidden="false" customHeight="true" outlineLevel="0" collapsed="false">
      <c r="A5" s="1" t="s">
        <v>35</v>
      </c>
      <c r="B5" s="1" t="n">
        <v>26000</v>
      </c>
    </row>
    <row r="6" customFormat="false" ht="15" hidden="false" customHeight="true" outlineLevel="0" collapsed="false">
      <c r="A6" s="1" t="s">
        <v>4</v>
      </c>
      <c r="B6" s="1" t="n">
        <v>41000</v>
      </c>
    </row>
    <row r="7" customFormat="false" ht="15" hidden="false" customHeight="true" outlineLevel="0" collapsed="false">
      <c r="A7" s="1" t="s">
        <v>20</v>
      </c>
      <c r="B7" s="1" t="n">
        <v>37000</v>
      </c>
    </row>
    <row r="8" customFormat="false" ht="15" hidden="false" customHeight="true" outlineLevel="0" collapsed="false">
      <c r="A8" s="1" t="s">
        <v>24</v>
      </c>
      <c r="B8" s="1" t="n">
        <v>91000</v>
      </c>
    </row>
    <row r="9" customFormat="false" ht="15" hidden="false" customHeight="true" outlineLevel="0" collapsed="false">
      <c r="A9" s="1" t="s">
        <v>25</v>
      </c>
      <c r="B9" s="1" t="n">
        <v>70000</v>
      </c>
    </row>
    <row r="10" customFormat="false" ht="15" hidden="false" customHeight="true" outlineLevel="0" collapsed="false">
      <c r="A10" s="1" t="s">
        <v>11</v>
      </c>
      <c r="B10" s="1" t="n">
        <v>45000</v>
      </c>
    </row>
    <row r="11" customFormat="false" ht="15" hidden="false" customHeight="true" outlineLevel="0" collapsed="false">
      <c r="A11" s="1" t="s">
        <v>15</v>
      </c>
      <c r="B11" s="1" t="n">
        <v>57000</v>
      </c>
    </row>
    <row r="12" customFormat="false" ht="15" hidden="false" customHeight="true" outlineLevel="0" collapsed="false">
      <c r="A12" s="1" t="s">
        <v>16</v>
      </c>
      <c r="B12" s="1" t="n">
        <v>500000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51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4</v>
      </c>
      <c r="B2" s="1" t="n">
        <v>6800000</v>
      </c>
    </row>
    <row r="3" customFormat="false" ht="15" hidden="false" customHeight="true" outlineLevel="0" collapsed="false">
      <c r="A3" s="1" t="s">
        <v>16</v>
      </c>
      <c r="B3" s="1" t="n">
        <v>6800000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8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v>99000</v>
      </c>
    </row>
    <row r="3" customFormat="false" ht="15" hidden="false" customHeight="true" outlineLevel="0" collapsed="false">
      <c r="A3" s="1" t="s">
        <v>3</v>
      </c>
      <c r="B3" s="1" t="n">
        <v>40000</v>
      </c>
    </row>
    <row r="4" customFormat="false" ht="15" hidden="false" customHeight="true" outlineLevel="0" collapsed="false">
      <c r="A4" s="1" t="s">
        <v>16</v>
      </c>
      <c r="B4" s="1" t="n">
        <v>140000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33" activeCellId="0" sqref="N33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1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2000000</v>
      </c>
    </row>
    <row r="3" customFormat="false" ht="15" hidden="false" customHeight="true" outlineLevel="0" collapsed="false">
      <c r="A3" s="1" t="s">
        <v>2</v>
      </c>
      <c r="B3" s="1" t="n">
        <v>177000000</v>
      </c>
    </row>
    <row r="4" customFormat="false" ht="15" hidden="false" customHeight="true" outlineLevel="0" collapsed="false">
      <c r="A4" s="3" t="s">
        <v>3</v>
      </c>
      <c r="B4" s="1" t="n">
        <v>43000000</v>
      </c>
    </row>
    <row r="5" customFormat="false" ht="15" hidden="false" customHeight="true" outlineLevel="0" collapsed="false">
      <c r="A5" s="3" t="s">
        <v>18</v>
      </c>
      <c r="B5" s="1" t="n">
        <v>31000000</v>
      </c>
    </row>
    <row r="6" customFormat="false" ht="15" hidden="false" customHeight="true" outlineLevel="0" collapsed="false">
      <c r="A6" s="3" t="s">
        <v>4</v>
      </c>
      <c r="B6" s="1" t="n">
        <v>230000000</v>
      </c>
    </row>
    <row r="7" customFormat="false" ht="15" hidden="false" customHeight="true" outlineLevel="0" collapsed="false">
      <c r="A7" s="1" t="s">
        <v>6</v>
      </c>
      <c r="B7" s="1" t="n">
        <v>92400000</v>
      </c>
    </row>
    <row r="8" customFormat="false" ht="15" hidden="false" customHeight="true" outlineLevel="0" collapsed="false">
      <c r="A8" s="1" t="s">
        <v>144</v>
      </c>
      <c r="B8" s="1" t="n">
        <v>610000</v>
      </c>
    </row>
    <row r="9" customFormat="false" ht="15" hidden="false" customHeight="true" outlineLevel="0" collapsed="false">
      <c r="A9" s="3" t="s">
        <v>79</v>
      </c>
      <c r="B9" s="1" t="n">
        <v>23000000</v>
      </c>
    </row>
    <row r="10" customFormat="false" ht="15" hidden="false" customHeight="true" outlineLevel="0" collapsed="false">
      <c r="A10" s="1" t="s">
        <v>55</v>
      </c>
      <c r="B10" s="1" t="n">
        <v>26890000</v>
      </c>
    </row>
    <row r="11" customFormat="false" ht="15" hidden="false" customHeight="true" outlineLevel="0" collapsed="false">
      <c r="A11" s="3" t="s">
        <v>62</v>
      </c>
      <c r="B11" s="1" t="n">
        <v>37000000</v>
      </c>
    </row>
    <row r="12" customFormat="false" ht="15" hidden="false" customHeight="true" outlineLevel="0" collapsed="false">
      <c r="A12" s="1" t="s">
        <v>116</v>
      </c>
      <c r="B12" s="1" t="n">
        <v>490000</v>
      </c>
    </row>
    <row r="13" customFormat="false" ht="15" hidden="false" customHeight="true" outlineLevel="0" collapsed="false">
      <c r="A13" s="1" t="s">
        <v>27</v>
      </c>
      <c r="B13" s="1" t="n">
        <v>41800000</v>
      </c>
    </row>
    <row r="14" customFormat="false" ht="15" hidden="false" customHeight="true" outlineLevel="0" collapsed="false">
      <c r="A14" s="1" t="s">
        <v>72</v>
      </c>
      <c r="B14" s="1" t="n">
        <v>8400000</v>
      </c>
    </row>
    <row r="15" customFormat="false" ht="15" hidden="false" customHeight="true" outlineLevel="0" collapsed="false">
      <c r="A15" s="1" t="s">
        <v>14</v>
      </c>
      <c r="B15" s="1" t="n">
        <v>1600000</v>
      </c>
    </row>
    <row r="16" customFormat="false" ht="15" hidden="false" customHeight="true" outlineLevel="0" collapsed="false">
      <c r="A16" s="1" t="s">
        <v>15</v>
      </c>
      <c r="B16" s="1" t="n">
        <v>26400000</v>
      </c>
    </row>
    <row r="17" customFormat="false" ht="15" hidden="false" customHeight="true" outlineLevel="0" collapsed="false">
      <c r="A17" s="1" t="s">
        <v>16</v>
      </c>
      <c r="B17" s="1" t="n">
        <v>740000000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.51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84</v>
      </c>
      <c r="B2" s="1" t="n">
        <v>10000</v>
      </c>
    </row>
    <row r="3" customFormat="false" ht="15" hidden="false" customHeight="true" outlineLevel="0" collapsed="false">
      <c r="A3" s="1" t="s">
        <v>4</v>
      </c>
      <c r="B3" s="1" t="n">
        <v>1900000</v>
      </c>
    </row>
    <row r="4" customFormat="false" ht="15" hidden="false" customHeight="true" outlineLevel="0" collapsed="false">
      <c r="A4" s="1" t="s">
        <v>48</v>
      </c>
      <c r="B4" s="1" t="n">
        <v>29000</v>
      </c>
    </row>
    <row r="5" customFormat="false" ht="15" hidden="false" customHeight="true" outlineLevel="0" collapsed="false">
      <c r="A5" s="1" t="s">
        <v>52</v>
      </c>
      <c r="B5" s="1" t="n">
        <v>4300</v>
      </c>
    </row>
    <row r="6" customFormat="false" ht="15" hidden="false" customHeight="true" outlineLevel="0" collapsed="false">
      <c r="A6" s="1" t="s">
        <v>64</v>
      </c>
      <c r="B6" s="1" t="n">
        <v>3100</v>
      </c>
    </row>
    <row r="7" customFormat="false" ht="15" hidden="false" customHeight="true" outlineLevel="0" collapsed="false">
      <c r="A7" s="1" t="s">
        <v>11</v>
      </c>
      <c r="B7" s="1" t="n">
        <v>400000</v>
      </c>
    </row>
    <row r="8" customFormat="false" ht="15" hidden="false" customHeight="true" outlineLevel="0" collapsed="false">
      <c r="A8" s="1" t="s">
        <v>68</v>
      </c>
      <c r="B8" s="1" t="n">
        <v>54000</v>
      </c>
    </row>
    <row r="9" customFormat="false" ht="15" hidden="false" customHeight="true" outlineLevel="0" collapsed="false">
      <c r="A9" s="1" t="s">
        <v>14</v>
      </c>
      <c r="B9" s="1" t="n">
        <v>95000</v>
      </c>
    </row>
    <row r="10" customFormat="false" ht="15" hidden="false" customHeight="true" outlineLevel="0" collapsed="false">
      <c r="A10" s="1" t="s">
        <v>15</v>
      </c>
      <c r="B10" s="1" t="n">
        <v>880000</v>
      </c>
    </row>
    <row r="11" customFormat="false" ht="15" hidden="false" customHeight="true" outlineLevel="0" collapsed="false">
      <c r="A11" s="1" t="s">
        <v>16</v>
      </c>
      <c r="B11" s="1" t="n">
        <v>3400000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1.51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30</v>
      </c>
      <c r="B2" s="2" t="n">
        <v>5000</v>
      </c>
    </row>
    <row r="3" customFormat="false" ht="15" hidden="false" customHeight="true" outlineLevel="0" collapsed="false">
      <c r="A3" s="1" t="s">
        <v>3</v>
      </c>
      <c r="B3" s="2" t="n">
        <v>156000</v>
      </c>
    </row>
    <row r="4" customFormat="false" ht="15" hidden="false" customHeight="true" outlineLevel="0" collapsed="false">
      <c r="A4" s="1" t="s">
        <v>18</v>
      </c>
      <c r="B4" s="2" t="n">
        <v>275000</v>
      </c>
    </row>
    <row r="5" customFormat="false" ht="15" hidden="false" customHeight="true" outlineLevel="0" collapsed="false">
      <c r="A5" s="1" t="s">
        <v>4</v>
      </c>
      <c r="B5" s="2" t="n">
        <v>102000</v>
      </c>
    </row>
    <row r="6" customFormat="false" ht="15" hidden="false" customHeight="true" outlineLevel="0" collapsed="false">
      <c r="A6" s="1" t="s">
        <v>7</v>
      </c>
      <c r="B6" s="2" t="n">
        <v>2000</v>
      </c>
    </row>
    <row r="7" customFormat="false" ht="15" hidden="false" customHeight="true" outlineLevel="0" collapsed="false">
      <c r="A7" s="1" t="s">
        <v>46</v>
      </c>
      <c r="B7" s="2" t="n">
        <v>5000</v>
      </c>
    </row>
    <row r="8" customFormat="false" ht="15" hidden="false" customHeight="true" outlineLevel="0" collapsed="false">
      <c r="A8" s="1" t="s">
        <v>9</v>
      </c>
      <c r="B8" s="2" t="n">
        <v>304000</v>
      </c>
    </row>
    <row r="9" customFormat="false" ht="15" hidden="false" customHeight="true" outlineLevel="0" collapsed="false">
      <c r="A9" s="1" t="s">
        <v>52</v>
      </c>
      <c r="B9" s="2" t="n">
        <v>50000</v>
      </c>
    </row>
    <row r="10" customFormat="false" ht="15" hidden="false" customHeight="true" outlineLevel="0" collapsed="false">
      <c r="A10" s="1" t="s">
        <v>24</v>
      </c>
      <c r="B10" s="2" t="n">
        <v>14000</v>
      </c>
    </row>
    <row r="11" customFormat="false" ht="15" hidden="false" customHeight="true" outlineLevel="0" collapsed="false">
      <c r="A11" s="1" t="s">
        <v>64</v>
      </c>
      <c r="B11" s="2" t="n">
        <v>5000</v>
      </c>
    </row>
    <row r="12" customFormat="false" ht="15" hidden="false" customHeight="true" outlineLevel="0" collapsed="false">
      <c r="A12" s="1" t="s">
        <v>11</v>
      </c>
      <c r="B12" s="2" t="n">
        <v>25000</v>
      </c>
    </row>
    <row r="13" customFormat="false" ht="15" hidden="false" customHeight="true" outlineLevel="0" collapsed="false">
      <c r="A13" s="1" t="s">
        <v>117</v>
      </c>
      <c r="B13" s="2" t="n">
        <v>9000</v>
      </c>
    </row>
    <row r="14" customFormat="false" ht="15" hidden="false" customHeight="true" outlineLevel="0" collapsed="false">
      <c r="A14" s="1" t="s">
        <v>67</v>
      </c>
      <c r="B14" s="2" t="n">
        <v>2000</v>
      </c>
    </row>
    <row r="15" customFormat="false" ht="15" hidden="false" customHeight="true" outlineLevel="0" collapsed="false">
      <c r="A15" s="1" t="s">
        <v>27</v>
      </c>
      <c r="B15" s="2" t="n">
        <v>168000</v>
      </c>
    </row>
    <row r="16" customFormat="false" ht="15" hidden="false" customHeight="true" outlineLevel="0" collapsed="false">
      <c r="A16" s="1" t="s">
        <v>68</v>
      </c>
      <c r="B16" s="2" t="n">
        <v>23000</v>
      </c>
    </row>
    <row r="17" customFormat="false" ht="15" hidden="false" customHeight="true" outlineLevel="0" collapsed="false">
      <c r="A17" s="1" t="s">
        <v>71</v>
      </c>
      <c r="B17" s="2" t="n">
        <v>38000</v>
      </c>
    </row>
    <row r="18" customFormat="false" ht="15" hidden="false" customHeight="true" outlineLevel="0" collapsed="false">
      <c r="A18" s="1" t="s">
        <v>23</v>
      </c>
      <c r="B18" s="2" t="n">
        <v>7000</v>
      </c>
    </row>
    <row r="19" customFormat="false" ht="15" hidden="false" customHeight="true" outlineLevel="0" collapsed="false">
      <c r="A19" s="1" t="s">
        <v>13</v>
      </c>
      <c r="B19" s="2" t="n">
        <v>13000</v>
      </c>
    </row>
    <row r="20" customFormat="false" ht="15" hidden="false" customHeight="true" outlineLevel="0" collapsed="false">
      <c r="A20" s="1" t="s">
        <v>72</v>
      </c>
      <c r="B20" s="2" t="n">
        <v>41000</v>
      </c>
    </row>
    <row r="21" customFormat="false" ht="15" hidden="false" customHeight="true" outlineLevel="0" collapsed="false">
      <c r="A21" s="1" t="s">
        <v>74</v>
      </c>
      <c r="B21" s="2" t="n">
        <v>37000</v>
      </c>
    </row>
    <row r="22" customFormat="false" ht="15" hidden="false" customHeight="true" outlineLevel="0" collapsed="false">
      <c r="A22" s="1" t="s">
        <v>16</v>
      </c>
      <c r="B22" s="2" t="n">
        <v>1280000</v>
      </c>
    </row>
    <row r="23" customFormat="false" ht="15" hidden="false" customHeight="true" outlineLevel="0" collapsed="false">
      <c r="B23" s="2"/>
    </row>
    <row r="24" customFormat="false" ht="15" hidden="false" customHeight="true" outlineLevel="0" collapsed="false">
      <c r="B24" s="2"/>
    </row>
    <row r="25" customFormat="false" ht="15" hidden="false" customHeight="true" outlineLevel="0" collapsed="false">
      <c r="B25" s="2"/>
    </row>
    <row r="26" customFormat="false" ht="15" hidden="false" customHeight="true" outlineLevel="0" collapsed="false">
      <c r="B26" s="2"/>
    </row>
    <row r="27" customFormat="false" ht="15" hidden="false" customHeight="true" outlineLevel="0" collapsed="false">
      <c r="B27" s="2"/>
    </row>
    <row r="28" customFormat="false" ht="15" hidden="false" customHeight="true" outlineLevel="0" collapsed="false">
      <c r="B28" s="2"/>
    </row>
    <row r="29" customFormat="false" ht="15" hidden="false" customHeight="true" outlineLevel="0" collapsed="false">
      <c r="B29" s="2"/>
    </row>
    <row r="30" customFormat="false" ht="15" hidden="false" customHeight="true" outlineLevel="0" collapsed="false">
      <c r="B30" s="2"/>
    </row>
    <row r="31" customFormat="false" ht="15" hidden="false" customHeight="true" outlineLevel="0" collapsed="false">
      <c r="B31" s="2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1.3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f aca="false">45*1000</f>
        <v>45000</v>
      </c>
    </row>
    <row r="3" customFormat="false" ht="15" hidden="false" customHeight="true" outlineLevel="0" collapsed="false">
      <c r="A3" s="1" t="s">
        <v>2</v>
      </c>
      <c r="B3" s="1" t="n">
        <f aca="false">4000*1000</f>
        <v>4000000</v>
      </c>
    </row>
    <row r="4" customFormat="false" ht="15" hidden="false" customHeight="true" outlineLevel="0" collapsed="false">
      <c r="A4" s="1" t="s">
        <v>3</v>
      </c>
      <c r="B4" s="1" t="n">
        <f aca="false">120*1000</f>
        <v>120000</v>
      </c>
    </row>
    <row r="5" customFormat="false" ht="15" hidden="false" customHeight="true" outlineLevel="0" collapsed="false">
      <c r="A5" s="1" t="s">
        <v>4</v>
      </c>
      <c r="B5" s="1" t="n">
        <f aca="false">9500*1000</f>
        <v>9500000</v>
      </c>
    </row>
    <row r="6" customFormat="false" ht="15" hidden="false" customHeight="true" outlineLevel="0" collapsed="false">
      <c r="A6" s="1" t="s">
        <v>11</v>
      </c>
      <c r="B6" s="1" t="n">
        <f aca="false">5000*1000</f>
        <v>5000000</v>
      </c>
    </row>
    <row r="7" customFormat="false" ht="15" hidden="false" customHeight="true" outlineLevel="0" collapsed="false">
      <c r="A7" s="1" t="s">
        <v>27</v>
      </c>
      <c r="B7" s="1" t="n">
        <f aca="false">3500*1000</f>
        <v>3500000</v>
      </c>
    </row>
    <row r="8" customFormat="false" ht="15" hidden="false" customHeight="true" outlineLevel="0" collapsed="false">
      <c r="A8" s="1" t="s">
        <v>16</v>
      </c>
      <c r="B8" s="1" t="n">
        <f aca="false">22000*1000</f>
        <v>22000000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1.66"/>
    <col collapsed="false" customWidth="true" hidden="false" outlineLevel="0" max="2" min="2" style="1" width="10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11000000</v>
      </c>
    </row>
    <row r="3" customFormat="false" ht="15" hidden="false" customHeight="true" outlineLevel="0" collapsed="false">
      <c r="A3" s="1" t="s">
        <v>2</v>
      </c>
      <c r="B3" s="1" t="n">
        <v>68000000</v>
      </c>
    </row>
    <row r="4" customFormat="false" ht="15" hidden="false" customHeight="true" outlineLevel="0" collapsed="false">
      <c r="A4" s="1" t="s">
        <v>17</v>
      </c>
      <c r="B4" s="1" t="n">
        <v>4800000</v>
      </c>
    </row>
    <row r="5" customFormat="false" ht="15" hidden="false" customHeight="true" outlineLevel="0" collapsed="false">
      <c r="A5" s="1" t="s">
        <v>18</v>
      </c>
      <c r="B5" s="1" t="n">
        <v>2300000</v>
      </c>
    </row>
    <row r="6" customFormat="false" ht="15" hidden="false" customHeight="true" outlineLevel="0" collapsed="false">
      <c r="A6" s="1" t="s">
        <v>4</v>
      </c>
      <c r="B6" s="1" t="n">
        <v>44000000</v>
      </c>
    </row>
    <row r="7" customFormat="false" ht="15" hidden="false" customHeight="true" outlineLevel="0" collapsed="false">
      <c r="A7" s="1" t="s">
        <v>6</v>
      </c>
      <c r="B7" s="1" t="n">
        <v>10000000</v>
      </c>
    </row>
    <row r="8" customFormat="false" ht="15" hidden="false" customHeight="true" outlineLevel="0" collapsed="false">
      <c r="A8" s="1" t="s">
        <v>9</v>
      </c>
      <c r="B8" s="1" t="n">
        <v>12000000</v>
      </c>
    </row>
    <row r="9" customFormat="false" ht="15" hidden="false" customHeight="true" outlineLevel="0" collapsed="false">
      <c r="A9" s="1" t="s">
        <v>20</v>
      </c>
      <c r="B9" s="1" t="n">
        <v>22000000</v>
      </c>
    </row>
    <row r="10" customFormat="false" ht="15" hidden="false" customHeight="true" outlineLevel="0" collapsed="false">
      <c r="A10" s="1" t="s">
        <v>24</v>
      </c>
      <c r="B10" s="1" t="n">
        <v>20000000</v>
      </c>
    </row>
    <row r="11" customFormat="false" ht="15" hidden="false" customHeight="true" outlineLevel="0" collapsed="false">
      <c r="A11" s="1" t="s">
        <v>11</v>
      </c>
      <c r="B11" s="1" t="n">
        <v>22000000</v>
      </c>
    </row>
    <row r="12" customFormat="false" ht="15" hidden="false" customHeight="true" outlineLevel="0" collapsed="false">
      <c r="A12" s="1" t="s">
        <v>69</v>
      </c>
      <c r="B12" s="1" t="n">
        <v>3600000</v>
      </c>
    </row>
    <row r="13" customFormat="false" ht="15" hidden="false" customHeight="true" outlineLevel="0" collapsed="false">
      <c r="A13" s="1" t="s">
        <v>15</v>
      </c>
      <c r="B13" s="1" t="n">
        <v>34000000</v>
      </c>
    </row>
    <row r="14" customFormat="false" ht="15" hidden="false" customHeight="false" outlineLevel="0" collapsed="false">
      <c r="A14" s="1" t="s">
        <v>16</v>
      </c>
      <c r="B14" s="1" t="n">
        <v>250000000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500000</v>
      </c>
    </row>
    <row r="3" customFormat="false" ht="15" hidden="false" customHeight="true" outlineLevel="0" collapsed="false">
      <c r="A3" s="1" t="s">
        <v>2</v>
      </c>
      <c r="B3" s="1" t="n">
        <v>43000000</v>
      </c>
    </row>
    <row r="4" customFormat="false" ht="15" hidden="false" customHeight="true" outlineLevel="0" collapsed="false">
      <c r="A4" s="1" t="s">
        <v>4</v>
      </c>
      <c r="B4" s="1" t="n">
        <v>500000</v>
      </c>
    </row>
    <row r="5" customFormat="false" ht="15" hidden="false" customHeight="true" outlineLevel="0" collapsed="false">
      <c r="A5" s="3" t="s">
        <v>144</v>
      </c>
      <c r="B5" s="1" t="n">
        <v>55000</v>
      </c>
    </row>
    <row r="6" customFormat="false" ht="15" hidden="false" customHeight="true" outlineLevel="0" collapsed="false">
      <c r="A6" s="3" t="s">
        <v>55</v>
      </c>
      <c r="B6" s="1" t="n">
        <v>1800000</v>
      </c>
    </row>
    <row r="7" customFormat="false" ht="15" hidden="false" customHeight="true" outlineLevel="0" collapsed="false">
      <c r="A7" s="3" t="s">
        <v>27</v>
      </c>
      <c r="B7" s="1" t="n">
        <v>6700000</v>
      </c>
    </row>
    <row r="8" customFormat="false" ht="15" hidden="false" customHeight="true" outlineLevel="0" collapsed="false">
      <c r="A8" s="3" t="s">
        <v>15</v>
      </c>
      <c r="B8" s="1" t="n">
        <v>11000000</v>
      </c>
    </row>
    <row r="9" customFormat="false" ht="15" hidden="false" customHeight="true" outlineLevel="0" collapsed="false">
      <c r="A9" s="3" t="s">
        <v>16</v>
      </c>
      <c r="B9" s="1" t="n">
        <v>64000000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2021-11-15T16:15:17Z</dcterms:created>
  <dc:creator>openpyxl</dc:creator>
  <dc:description/>
  <dc:language>en-US</dc:language>
  <cp:lastModifiedBy/>
  <dcterms:modified xsi:type="dcterms:W3CDTF">2026-09-24T15:20:41Z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